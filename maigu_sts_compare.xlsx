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对比汇总" sheetId="1" state="visible" r:id="rId1"/>
    <sheet xmlns:r="http://schemas.openxmlformats.org/officeDocument/2006/relationships" name="中转vs上游" sheetId="2" state="visible" r:id="rId2"/>
    <sheet xmlns:r="http://schemas.openxmlformats.org/officeDocument/2006/relationships" name="明细数据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微软雅黑"/>
      <b val="1"/>
      <color rgb="00FFFFFF"/>
      <sz val="11"/>
    </font>
    <font>
      <name val="微软雅黑"/>
      <sz val="10"/>
    </font>
    <font>
      <name val="微软雅黑"/>
      <b val="1"/>
      <sz val="10"/>
    </font>
    <font>
      <name val="微软雅黑"/>
      <b val="1"/>
      <color rgb="00C00000"/>
      <sz val="10"/>
    </font>
  </fonts>
  <fills count="6">
    <fill>
      <patternFill/>
    </fill>
    <fill>
      <patternFill patternType="gray125"/>
    </fill>
    <fill>
      <patternFill patternType="solid">
        <fgColor rgb="002F5496"/>
        <bgColor rgb="002F5496"/>
      </patternFill>
    </fill>
    <fill>
      <patternFill patternType="solid">
        <fgColor rgb="00FFF2CC"/>
        <bgColor rgb="00FFF2CC"/>
      </patternFill>
    </fill>
    <fill>
      <patternFill patternType="solid">
        <fgColor rgb="00E2EFDA"/>
        <bgColor rgb="00E2EFDA"/>
      </patternFill>
    </fill>
    <fill>
      <patternFill patternType="solid">
        <fgColor rgb="00D6E4F0"/>
        <bgColor rgb="00D6E4F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4" fontId="2" fillId="0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3" fillId="5" borderId="1" pivotButton="0" quotePrefix="0" xfId="0"/>
    <xf numFmtId="0" fontId="4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8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</cols>
  <sheetData>
    <row r="1">
      <c r="A1" s="1" t="inlineStr">
        <is>
          <t>端点</t>
        </is>
      </c>
      <c r="B1" s="1" t="inlineStr">
        <is>
          <t>模型</t>
        </is>
      </c>
      <c r="C1" s="1" t="inlineStr">
        <is>
          <t>上下文</t>
        </is>
      </c>
      <c r="D1" s="1" t="inlineStr">
        <is>
          <t>样本数</t>
        </is>
      </c>
      <c r="E1" s="1" t="inlineStr">
        <is>
          <t>输入Tokens</t>
        </is>
      </c>
      <c r="F1" s="1" t="inlineStr">
        <is>
          <t>输出Tokens(avg)</t>
        </is>
      </c>
      <c r="G1" s="1" t="inlineStr">
        <is>
          <t>TTFT(avg/s)</t>
        </is>
      </c>
      <c r="H1" s="1" t="inlineStr">
        <is>
          <t>TTFT(min)</t>
        </is>
      </c>
      <c r="I1" s="1" t="inlineStr">
        <is>
          <t>TTFT(max)</t>
        </is>
      </c>
      <c r="J1" s="1" t="inlineStr">
        <is>
          <t>TTFT(std)</t>
        </is>
      </c>
      <c r="K1" s="1" t="inlineStr">
        <is>
          <t>TPOT(avg/ms)</t>
        </is>
      </c>
      <c r="L1" s="1" t="inlineStr">
        <is>
          <t>TPOT(min)</t>
        </is>
      </c>
      <c r="M1" s="1" t="inlineStr">
        <is>
          <t>TPOT(max)</t>
        </is>
      </c>
      <c r="N1" s="1" t="inlineStr">
        <is>
          <t>TPOT(std)</t>
        </is>
      </c>
      <c r="O1" s="1" t="inlineStr">
        <is>
          <t>TPS(avg)</t>
        </is>
      </c>
      <c r="P1" s="1" t="inlineStr">
        <is>
          <t>TPS(min)</t>
        </is>
      </c>
      <c r="Q1" s="1" t="inlineStr">
        <is>
          <t>TPS(max)</t>
        </is>
      </c>
      <c r="R1" s="1" t="inlineStr">
        <is>
          <t>总耗时(avg/s)</t>
        </is>
      </c>
      <c r="S1" s="1" t="inlineStr">
        <is>
          <t>任务评分(avg)</t>
        </is>
      </c>
      <c r="T1" s="1" t="inlineStr">
        <is>
          <t>成功率(%)</t>
        </is>
      </c>
    </row>
    <row r="2">
      <c r="A2" s="2" t="inlineStr">
        <is>
          <t>STS中转</t>
        </is>
      </c>
      <c r="B2" s="3" t="inlineStr">
        <is>
          <t>glm-5.1</t>
        </is>
      </c>
      <c r="C2" s="3" t="inlineStr">
        <is>
          <t>128K</t>
        </is>
      </c>
      <c r="D2" s="3" t="n">
        <v>2</v>
      </c>
      <c r="E2" s="4" t="n">
        <v>126000</v>
      </c>
      <c r="F2" s="4" t="n">
        <v>233</v>
      </c>
      <c r="G2" s="4" t="n">
        <v>14.295</v>
      </c>
      <c r="H2" s="4" t="n">
        <v>13.362</v>
      </c>
      <c r="I2" s="4" t="n">
        <v>15.228</v>
      </c>
      <c r="J2" s="4" t="n">
        <v>1.319</v>
      </c>
      <c r="K2" s="4" t="n">
        <v>12.46</v>
      </c>
      <c r="L2" s="4" t="n">
        <v>12.41</v>
      </c>
      <c r="M2" s="4" t="n">
        <v>12.5</v>
      </c>
      <c r="N2" s="4" t="n">
        <v>0.06</v>
      </c>
      <c r="O2" s="4" t="n">
        <v>80.29000000000001</v>
      </c>
      <c r="P2" s="4" t="n">
        <v>79.98999999999999</v>
      </c>
      <c r="Q2" s="4" t="n">
        <v>80.59</v>
      </c>
      <c r="R2" s="4" t="n">
        <v>17.208</v>
      </c>
      <c r="S2" s="4" t="n">
        <v>54.5</v>
      </c>
      <c r="T2" s="4" t="n">
        <v>100</v>
      </c>
    </row>
    <row r="3">
      <c r="A3" s="2" t="inlineStr">
        <is>
          <t>STS中转</t>
        </is>
      </c>
      <c r="B3" s="3" t="inlineStr">
        <is>
          <t>glm-5.1</t>
        </is>
      </c>
      <c r="C3" s="3" t="inlineStr">
        <is>
          <t>16K</t>
        </is>
      </c>
      <c r="D3" s="3" t="n">
        <v>3</v>
      </c>
      <c r="E3" s="4" t="n">
        <v>14000</v>
      </c>
      <c r="F3" s="4" t="n">
        <v>217.7</v>
      </c>
      <c r="G3" s="4" t="n">
        <v>10.746</v>
      </c>
      <c r="H3" s="4" t="n">
        <v>10.182</v>
      </c>
      <c r="I3" s="4" t="n">
        <v>11.837</v>
      </c>
      <c r="J3" s="4" t="n">
        <v>0.945</v>
      </c>
      <c r="K3" s="4" t="n">
        <v>12.31</v>
      </c>
      <c r="L3" s="4" t="n">
        <v>9.859999999999999</v>
      </c>
      <c r="M3" s="4" t="n">
        <v>14.93</v>
      </c>
      <c r="N3" s="4" t="n">
        <v>2.54</v>
      </c>
      <c r="O3" s="4" t="n">
        <v>83.56999999999999</v>
      </c>
      <c r="P3" s="4" t="n">
        <v>66.95999999999999</v>
      </c>
      <c r="Q3" s="4" t="n">
        <v>101.4</v>
      </c>
      <c r="R3" s="4" t="n">
        <v>13.473</v>
      </c>
      <c r="S3" s="4" t="n">
        <v>55.7</v>
      </c>
      <c r="T3" s="4" t="n">
        <v>100</v>
      </c>
    </row>
    <row r="4">
      <c r="A4" s="2" t="inlineStr">
        <is>
          <t>STS中转</t>
        </is>
      </c>
      <c r="B4" s="3" t="inlineStr">
        <is>
          <t>glm-5.1</t>
        </is>
      </c>
      <c r="C4" s="3" t="inlineStr">
        <is>
          <t>4K</t>
        </is>
      </c>
      <c r="D4" s="3" t="n">
        <v>3</v>
      </c>
      <c r="E4" s="4" t="n">
        <v>3072</v>
      </c>
      <c r="F4" s="4" t="n">
        <v>204.3</v>
      </c>
      <c r="G4" s="4" t="n">
        <v>16.086</v>
      </c>
      <c r="H4" s="4" t="n">
        <v>13.124</v>
      </c>
      <c r="I4" s="4" t="n">
        <v>19.631</v>
      </c>
      <c r="J4" s="4" t="n">
        <v>3.293</v>
      </c>
      <c r="K4" s="4" t="n">
        <v>13.63</v>
      </c>
      <c r="L4" s="4" t="n">
        <v>12.7</v>
      </c>
      <c r="M4" s="4" t="n">
        <v>14.72</v>
      </c>
      <c r="N4" s="4" t="n">
        <v>1.02</v>
      </c>
      <c r="O4" s="4" t="n">
        <v>73.62</v>
      </c>
      <c r="P4" s="4" t="n">
        <v>67.93000000000001</v>
      </c>
      <c r="Q4" s="4" t="n">
        <v>78.73</v>
      </c>
      <c r="R4" s="4" t="n">
        <v>18.946</v>
      </c>
      <c r="S4" s="4" t="n">
        <v>55.7</v>
      </c>
      <c r="T4" s="4" t="n">
        <v>100</v>
      </c>
    </row>
    <row r="5">
      <c r="A5" s="2" t="inlineStr">
        <is>
          <t>STS中转</t>
        </is>
      </c>
      <c r="B5" s="3" t="inlineStr">
        <is>
          <t>glm-5.1</t>
        </is>
      </c>
      <c r="C5" s="3" t="inlineStr">
        <is>
          <t>64K</t>
        </is>
      </c>
      <c r="D5" s="3" t="n">
        <v>2</v>
      </c>
      <c r="E5" s="4" t="n">
        <v>62000</v>
      </c>
      <c r="F5" s="4" t="n">
        <v>235</v>
      </c>
      <c r="G5" s="4" t="n">
        <v>12.396</v>
      </c>
      <c r="H5" s="4" t="n">
        <v>12.319</v>
      </c>
      <c r="I5" s="4" t="n">
        <v>12.473</v>
      </c>
      <c r="J5" s="4" t="n">
        <v>0.109</v>
      </c>
      <c r="K5" s="4" t="n">
        <v>14.91</v>
      </c>
      <c r="L5" s="4" t="n">
        <v>14.52</v>
      </c>
      <c r="M5" s="4" t="n">
        <v>15.3</v>
      </c>
      <c r="N5" s="4" t="n">
        <v>0.55</v>
      </c>
      <c r="O5" s="4" t="n">
        <v>67.09999999999999</v>
      </c>
      <c r="P5" s="4" t="n">
        <v>65.34999999999999</v>
      </c>
      <c r="Q5" s="4" t="n">
        <v>68.86</v>
      </c>
      <c r="R5" s="4" t="n">
        <v>15.931</v>
      </c>
      <c r="S5" s="4" t="n">
        <v>54.5</v>
      </c>
      <c r="T5" s="4" t="n">
        <v>100</v>
      </c>
    </row>
    <row r="6">
      <c r="A6" s="2" t="inlineStr">
        <is>
          <t>STS中转</t>
        </is>
      </c>
      <c r="B6" s="3" t="inlineStr">
        <is>
          <t>glm-5.2</t>
        </is>
      </c>
      <c r="C6" s="3" t="inlineStr">
        <is>
          <t>128K</t>
        </is>
      </c>
      <c r="D6" s="3" t="n">
        <v>2</v>
      </c>
      <c r="E6" s="4" t="n">
        <v>126000</v>
      </c>
      <c r="F6" s="4" t="n">
        <v>253.5</v>
      </c>
      <c r="G6" s="4" t="n">
        <v>15.848</v>
      </c>
      <c r="H6" s="4" t="n">
        <v>15.135</v>
      </c>
      <c r="I6" s="4" t="n">
        <v>16.56</v>
      </c>
      <c r="J6" s="4" t="n">
        <v>1.008</v>
      </c>
      <c r="K6" s="4" t="n">
        <v>12.21</v>
      </c>
      <c r="L6" s="4" t="n">
        <v>12.19</v>
      </c>
      <c r="M6" s="4" t="n">
        <v>12.23</v>
      </c>
      <c r="N6" s="4" t="n">
        <v>0.03</v>
      </c>
      <c r="O6" s="4" t="n">
        <v>81.91</v>
      </c>
      <c r="P6" s="4" t="n">
        <v>81.78</v>
      </c>
      <c r="Q6" s="4" t="n">
        <v>82.05</v>
      </c>
      <c r="R6" s="4" t="n">
        <v>18.974</v>
      </c>
      <c r="S6" s="4" t="n">
        <v>54.5</v>
      </c>
      <c r="T6" s="4" t="n">
        <v>100</v>
      </c>
    </row>
    <row r="7">
      <c r="A7" s="2" t="inlineStr">
        <is>
          <t>STS中转</t>
        </is>
      </c>
      <c r="B7" s="3" t="inlineStr">
        <is>
          <t>glm-5.2</t>
        </is>
      </c>
      <c r="C7" s="3" t="inlineStr">
        <is>
          <t>16K</t>
        </is>
      </c>
      <c r="D7" s="3" t="n">
        <v>3</v>
      </c>
      <c r="E7" s="4" t="n">
        <v>14000</v>
      </c>
      <c r="F7" s="4" t="n">
        <v>204.7</v>
      </c>
      <c r="G7" s="4" t="n">
        <v>18.654</v>
      </c>
      <c r="H7" s="4" t="n">
        <v>15.368</v>
      </c>
      <c r="I7" s="4" t="n">
        <v>23.226</v>
      </c>
      <c r="J7" s="4" t="n">
        <v>4.084</v>
      </c>
      <c r="K7" s="4" t="n">
        <v>11.63</v>
      </c>
      <c r="L7" s="4" t="n">
        <v>9.789999999999999</v>
      </c>
      <c r="M7" s="4" t="n">
        <v>13.06</v>
      </c>
      <c r="N7" s="4" t="n">
        <v>1.67</v>
      </c>
      <c r="O7" s="4" t="n">
        <v>87.23</v>
      </c>
      <c r="P7" s="4" t="n">
        <v>76.56</v>
      </c>
      <c r="Q7" s="4" t="n">
        <v>102.14</v>
      </c>
      <c r="R7" s="4" t="n">
        <v>21.061</v>
      </c>
      <c r="S7" s="4" t="n">
        <v>53.3</v>
      </c>
      <c r="T7" s="4" t="n">
        <v>100</v>
      </c>
    </row>
    <row r="8">
      <c r="A8" s="2" t="inlineStr">
        <is>
          <t>STS中转</t>
        </is>
      </c>
      <c r="B8" s="3" t="inlineStr">
        <is>
          <t>glm-5.2</t>
        </is>
      </c>
      <c r="C8" s="3" t="inlineStr">
        <is>
          <t>4K</t>
        </is>
      </c>
      <c r="D8" s="3" t="n">
        <v>3</v>
      </c>
      <c r="E8" s="4" t="n">
        <v>3072</v>
      </c>
      <c r="F8" s="4" t="n">
        <v>196.7</v>
      </c>
      <c r="G8" s="4" t="n">
        <v>14.838</v>
      </c>
      <c r="H8" s="4" t="n">
        <v>11.914</v>
      </c>
      <c r="I8" s="4" t="n">
        <v>17.332</v>
      </c>
      <c r="J8" s="4" t="n">
        <v>2.735</v>
      </c>
      <c r="K8" s="4" t="n">
        <v>16.23</v>
      </c>
      <c r="L8" s="4" t="n">
        <v>10.97</v>
      </c>
      <c r="M8" s="4" t="n">
        <v>19.64</v>
      </c>
      <c r="N8" s="4" t="n">
        <v>4.62</v>
      </c>
      <c r="O8" s="4" t="n">
        <v>65.8</v>
      </c>
      <c r="P8" s="4" t="n">
        <v>50.9</v>
      </c>
      <c r="Q8" s="4" t="n">
        <v>91.19</v>
      </c>
      <c r="R8" s="4" t="n">
        <v>18.102</v>
      </c>
      <c r="S8" s="4" t="n">
        <v>53.3</v>
      </c>
      <c r="T8" s="4" t="n">
        <v>100</v>
      </c>
    </row>
    <row r="9">
      <c r="A9" s="2" t="inlineStr">
        <is>
          <t>STS中转</t>
        </is>
      </c>
      <c r="B9" s="3" t="inlineStr">
        <is>
          <t>glm-5.2</t>
        </is>
      </c>
      <c r="C9" s="3" t="inlineStr">
        <is>
          <t>64K</t>
        </is>
      </c>
      <c r="D9" s="3" t="n">
        <v>2</v>
      </c>
      <c r="E9" s="4" t="n">
        <v>62000</v>
      </c>
      <c r="F9" s="4" t="n">
        <v>205</v>
      </c>
      <c r="G9" s="4" t="n">
        <v>13.043</v>
      </c>
      <c r="H9" s="4" t="n">
        <v>11.125</v>
      </c>
      <c r="I9" s="4" t="n">
        <v>14.96</v>
      </c>
      <c r="J9" s="4" t="n">
        <v>2.712</v>
      </c>
      <c r="K9" s="4" t="n">
        <v>11.61</v>
      </c>
      <c r="L9" s="4" t="n">
        <v>11.07</v>
      </c>
      <c r="M9" s="4" t="n">
        <v>12.14</v>
      </c>
      <c r="N9" s="4" t="n">
        <v>0.76</v>
      </c>
      <c r="O9" s="4" t="n">
        <v>86.38</v>
      </c>
      <c r="P9" s="4" t="n">
        <v>82.38</v>
      </c>
      <c r="Q9" s="4" t="n">
        <v>90.37</v>
      </c>
      <c r="R9" s="4" t="n">
        <v>15.432</v>
      </c>
      <c r="S9" s="4" t="n">
        <v>54.5</v>
      </c>
      <c r="T9" s="4" t="n">
        <v>100</v>
      </c>
    </row>
    <row r="10">
      <c r="A10" s="5" t="inlineStr">
        <is>
          <t>麦谷上游</t>
        </is>
      </c>
      <c r="B10" s="3" t="inlineStr">
        <is>
          <t>glm-5.1</t>
        </is>
      </c>
      <c r="C10" s="3" t="inlineStr">
        <is>
          <t>128K</t>
        </is>
      </c>
      <c r="D10" s="3" t="n">
        <v>2</v>
      </c>
      <c r="E10" s="4" t="n">
        <v>126000</v>
      </c>
      <c r="F10" s="4" t="n">
        <v>182.5</v>
      </c>
      <c r="G10" s="4" t="n">
        <v>22.353</v>
      </c>
      <c r="H10" s="4" t="n">
        <v>19.66</v>
      </c>
      <c r="I10" s="4" t="n">
        <v>25.046</v>
      </c>
      <c r="J10" s="4" t="n">
        <v>3.808</v>
      </c>
      <c r="K10" s="4" t="n">
        <v>11.37</v>
      </c>
      <c r="L10" s="4" t="n">
        <v>10.33</v>
      </c>
      <c r="M10" s="4" t="n">
        <v>12.41</v>
      </c>
      <c r="N10" s="4" t="n">
        <v>1.47</v>
      </c>
      <c r="O10" s="4" t="n">
        <v>88.69</v>
      </c>
      <c r="P10" s="4" t="n">
        <v>80.59999999999999</v>
      </c>
      <c r="Q10" s="4" t="n">
        <v>96.77</v>
      </c>
      <c r="R10" s="4" t="n">
        <v>24.443</v>
      </c>
      <c r="S10" s="4" t="n">
        <v>51</v>
      </c>
      <c r="T10" s="4" t="n">
        <v>100</v>
      </c>
    </row>
    <row r="11">
      <c r="A11" s="5" t="inlineStr">
        <is>
          <t>麦谷上游</t>
        </is>
      </c>
      <c r="B11" s="3" t="inlineStr">
        <is>
          <t>glm-5.1</t>
        </is>
      </c>
      <c r="C11" s="3" t="inlineStr">
        <is>
          <t>16K</t>
        </is>
      </c>
      <c r="D11" s="3" t="n">
        <v>3</v>
      </c>
      <c r="E11" s="4" t="n">
        <v>14000</v>
      </c>
      <c r="F11" s="4" t="n">
        <v>203.3</v>
      </c>
      <c r="G11" s="4" t="n">
        <v>15.432</v>
      </c>
      <c r="H11" s="4" t="n">
        <v>13.536</v>
      </c>
      <c r="I11" s="4" t="n">
        <v>17.78</v>
      </c>
      <c r="J11" s="4" t="n">
        <v>2.158</v>
      </c>
      <c r="K11" s="4" t="n">
        <v>8.890000000000001</v>
      </c>
      <c r="L11" s="4" t="n">
        <v>6.97</v>
      </c>
      <c r="M11" s="4" t="n">
        <v>11.11</v>
      </c>
      <c r="N11" s="4" t="n">
        <v>2.09</v>
      </c>
      <c r="O11" s="4" t="n">
        <v>116.58</v>
      </c>
      <c r="P11" s="4" t="n">
        <v>89.98999999999999</v>
      </c>
      <c r="Q11" s="4" t="n">
        <v>143.5</v>
      </c>
      <c r="R11" s="4" t="n">
        <v>17.229</v>
      </c>
      <c r="S11" s="4" t="n">
        <v>55.7</v>
      </c>
      <c r="T11" s="4" t="n">
        <v>100</v>
      </c>
    </row>
    <row r="12">
      <c r="A12" s="5" t="inlineStr">
        <is>
          <t>麦谷上游</t>
        </is>
      </c>
      <c r="B12" s="3" t="inlineStr">
        <is>
          <t>glm-5.1</t>
        </is>
      </c>
      <c r="C12" s="3" t="inlineStr">
        <is>
          <t>4K</t>
        </is>
      </c>
      <c r="D12" s="3" t="n">
        <v>3</v>
      </c>
      <c r="E12" s="4" t="n">
        <v>3072</v>
      </c>
      <c r="F12" s="4" t="n">
        <v>201.7</v>
      </c>
      <c r="G12" s="4" t="n">
        <v>13.46</v>
      </c>
      <c r="H12" s="4" t="n">
        <v>11.119</v>
      </c>
      <c r="I12" s="4" t="n">
        <v>16.531</v>
      </c>
      <c r="J12" s="4" t="n">
        <v>2.779</v>
      </c>
      <c r="K12" s="4" t="n">
        <v>16.42</v>
      </c>
      <c r="L12" s="4" t="n">
        <v>12.18</v>
      </c>
      <c r="M12" s="4" t="n">
        <v>20</v>
      </c>
      <c r="N12" s="4" t="n">
        <v>3.95</v>
      </c>
      <c r="O12" s="4" t="n">
        <v>63.54</v>
      </c>
      <c r="P12" s="4" t="n">
        <v>50</v>
      </c>
      <c r="Q12" s="4" t="n">
        <v>82.12</v>
      </c>
      <c r="R12" s="4" t="n">
        <v>16.81</v>
      </c>
      <c r="S12" s="4" t="n">
        <v>55.7</v>
      </c>
      <c r="T12" s="4" t="n">
        <v>100</v>
      </c>
    </row>
    <row r="13">
      <c r="A13" s="5" t="inlineStr">
        <is>
          <t>麦谷上游</t>
        </is>
      </c>
      <c r="B13" s="3" t="inlineStr">
        <is>
          <t>glm-5.1</t>
        </is>
      </c>
      <c r="C13" s="3" t="inlineStr">
        <is>
          <t>64K</t>
        </is>
      </c>
      <c r="D13" s="3" t="n">
        <v>2</v>
      </c>
      <c r="E13" s="4" t="n">
        <v>62000</v>
      </c>
      <c r="F13" s="4" t="n">
        <v>207.5</v>
      </c>
      <c r="G13" s="4" t="n">
        <v>13.711</v>
      </c>
      <c r="H13" s="4" t="n">
        <v>7.353</v>
      </c>
      <c r="I13" s="4" t="n">
        <v>20.069</v>
      </c>
      <c r="J13" s="4" t="n">
        <v>8.992000000000001</v>
      </c>
      <c r="K13" s="4" t="n">
        <v>20.61</v>
      </c>
      <c r="L13" s="4" t="n">
        <v>14.36</v>
      </c>
      <c r="M13" s="4" t="n">
        <v>26.85</v>
      </c>
      <c r="N13" s="4" t="n">
        <v>8.83</v>
      </c>
      <c r="O13" s="4" t="n">
        <v>53.45</v>
      </c>
      <c r="P13" s="4" t="n">
        <v>37.24</v>
      </c>
      <c r="Q13" s="4" t="n">
        <v>69.65000000000001</v>
      </c>
      <c r="R13" s="4" t="n">
        <v>17.733</v>
      </c>
      <c r="S13" s="4" t="n">
        <v>51</v>
      </c>
      <c r="T13" s="4" t="n">
        <v>100</v>
      </c>
    </row>
    <row r="14">
      <c r="A14" s="5" t="inlineStr">
        <is>
          <t>麦谷上游</t>
        </is>
      </c>
      <c r="B14" s="3" t="inlineStr">
        <is>
          <t>glm-5.2</t>
        </is>
      </c>
      <c r="C14" s="3" t="inlineStr">
        <is>
          <t>128K</t>
        </is>
      </c>
      <c r="D14" s="3" t="n">
        <v>2</v>
      </c>
      <c r="E14" s="4" t="n">
        <v>126000</v>
      </c>
      <c r="F14" s="4" t="n">
        <v>200</v>
      </c>
      <c r="G14" s="4" t="n">
        <v>21.017</v>
      </c>
      <c r="H14" s="4" t="n">
        <v>18.923</v>
      </c>
      <c r="I14" s="4" t="n">
        <v>23.111</v>
      </c>
      <c r="J14" s="4" t="n">
        <v>2.961</v>
      </c>
      <c r="K14" s="4" t="n">
        <v>16.45</v>
      </c>
      <c r="L14" s="4" t="n">
        <v>13.85</v>
      </c>
      <c r="M14" s="4" t="n">
        <v>19.04</v>
      </c>
      <c r="N14" s="4" t="n">
        <v>3.67</v>
      </c>
      <c r="O14" s="4" t="n">
        <v>62.36</v>
      </c>
      <c r="P14" s="4" t="n">
        <v>52.53</v>
      </c>
      <c r="Q14" s="4" t="n">
        <v>72.19</v>
      </c>
      <c r="R14" s="4" t="n">
        <v>24.657</v>
      </c>
      <c r="S14" s="4" t="n">
        <v>51</v>
      </c>
      <c r="T14" s="4" t="n">
        <v>100</v>
      </c>
    </row>
    <row r="15">
      <c r="A15" s="5" t="inlineStr">
        <is>
          <t>麦谷上游</t>
        </is>
      </c>
      <c r="B15" s="3" t="inlineStr">
        <is>
          <t>glm-5.2</t>
        </is>
      </c>
      <c r="C15" s="3" t="inlineStr">
        <is>
          <t>16K</t>
        </is>
      </c>
      <c r="D15" s="3" t="n">
        <v>3</v>
      </c>
      <c r="E15" s="4" t="n">
        <v>14000</v>
      </c>
      <c r="F15" s="4" t="n">
        <v>212.7</v>
      </c>
      <c r="G15" s="4" t="n">
        <v>24.716</v>
      </c>
      <c r="H15" s="4" t="n">
        <v>23.368</v>
      </c>
      <c r="I15" s="4" t="n">
        <v>25.841</v>
      </c>
      <c r="J15" s="4" t="n">
        <v>1.251</v>
      </c>
      <c r="K15" s="4" t="n">
        <v>11.71</v>
      </c>
      <c r="L15" s="4" t="n">
        <v>7.71</v>
      </c>
      <c r="M15" s="4" t="n">
        <v>13.78</v>
      </c>
      <c r="N15" s="4" t="n">
        <v>3.46</v>
      </c>
      <c r="O15" s="4" t="n">
        <v>91.84999999999999</v>
      </c>
      <c r="P15" s="4" t="n">
        <v>72.59</v>
      </c>
      <c r="Q15" s="4" t="n">
        <v>129.65</v>
      </c>
      <c r="R15" s="4" t="n">
        <v>27.244</v>
      </c>
      <c r="S15" s="4" t="n">
        <v>53.3</v>
      </c>
      <c r="T15" s="4" t="n">
        <v>100</v>
      </c>
    </row>
    <row r="16">
      <c r="A16" s="5" t="inlineStr">
        <is>
          <t>麦谷上游</t>
        </is>
      </c>
      <c r="B16" s="3" t="inlineStr">
        <is>
          <t>glm-5.2</t>
        </is>
      </c>
      <c r="C16" s="3" t="inlineStr">
        <is>
          <t>4K</t>
        </is>
      </c>
      <c r="D16" s="3" t="n">
        <v>3</v>
      </c>
      <c r="E16" s="4" t="n">
        <v>3072</v>
      </c>
      <c r="F16" s="4" t="n">
        <v>232.3</v>
      </c>
      <c r="G16" s="4" t="n">
        <v>14.241</v>
      </c>
      <c r="H16" s="4" t="n">
        <v>12.116</v>
      </c>
      <c r="I16" s="4" t="n">
        <v>17.399</v>
      </c>
      <c r="J16" s="4" t="n">
        <v>2.789</v>
      </c>
      <c r="K16" s="4" t="n">
        <v>13.27</v>
      </c>
      <c r="L16" s="4" t="n">
        <v>11.6</v>
      </c>
      <c r="M16" s="4" t="n">
        <v>15.04</v>
      </c>
      <c r="N16" s="4" t="n">
        <v>1.72</v>
      </c>
      <c r="O16" s="4" t="n">
        <v>76.18000000000001</v>
      </c>
      <c r="P16" s="4" t="n">
        <v>66.47</v>
      </c>
      <c r="Q16" s="4" t="n">
        <v>86.18000000000001</v>
      </c>
      <c r="R16" s="4" t="n">
        <v>17.564</v>
      </c>
      <c r="S16" s="4" t="n">
        <v>55.7</v>
      </c>
      <c r="T16" s="4" t="n">
        <v>100</v>
      </c>
    </row>
    <row r="17">
      <c r="A17" s="5" t="inlineStr">
        <is>
          <t>麦谷上游</t>
        </is>
      </c>
      <c r="B17" s="3" t="inlineStr">
        <is>
          <t>glm-5.2</t>
        </is>
      </c>
      <c r="C17" s="3" t="inlineStr">
        <is>
          <t>64K</t>
        </is>
      </c>
      <c r="D17" s="3" t="n">
        <v>2</v>
      </c>
      <c r="E17" s="4" t="n">
        <v>62000</v>
      </c>
      <c r="F17" s="4" t="n">
        <v>212</v>
      </c>
      <c r="G17" s="4" t="n">
        <v>20.782</v>
      </c>
      <c r="H17" s="4" t="n">
        <v>19.422</v>
      </c>
      <c r="I17" s="4" t="n">
        <v>22.142</v>
      </c>
      <c r="J17" s="4" t="n">
        <v>1.923</v>
      </c>
      <c r="K17" s="4" t="n">
        <v>7.67</v>
      </c>
      <c r="L17" s="4" t="n">
        <v>3.91</v>
      </c>
      <c r="M17" s="4" t="n">
        <v>11.42</v>
      </c>
      <c r="N17" s="4" t="n">
        <v>5.31</v>
      </c>
      <c r="O17" s="4" t="n">
        <v>171.69</v>
      </c>
      <c r="P17" s="4" t="n">
        <v>87.53</v>
      </c>
      <c r="Q17" s="4" t="n">
        <v>255.85</v>
      </c>
      <c r="R17" s="4" t="n">
        <v>22.396</v>
      </c>
      <c r="S17" s="4" t="n">
        <v>54.5</v>
      </c>
      <c r="T17" s="4" t="n">
        <v>100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4" customWidth="1" min="3" max="3"/>
    <col width="14" customWidth="1" min="4" max="4"/>
    <col width="12" customWidth="1" min="5" max="5"/>
    <col width="12" customWidth="1" min="6" max="6"/>
    <col width="16" customWidth="1" min="7" max="7"/>
    <col width="16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4" customWidth="1" min="17" max="17"/>
    <col width="14" customWidth="1" min="18" max="18"/>
  </cols>
  <sheetData>
    <row r="1">
      <c r="A1" s="1" t="inlineStr">
        <is>
          <t>上下文</t>
        </is>
      </c>
      <c r="B1" s="1" t="inlineStr">
        <is>
          <t>模型</t>
        </is>
      </c>
      <c r="C1" s="1" t="inlineStr">
        <is>
          <t>TTFT-麦谷(s)</t>
        </is>
      </c>
      <c r="D1" s="1" t="inlineStr">
        <is>
          <t>TTFT-STS(s)</t>
        </is>
      </c>
      <c r="E1" s="1" t="inlineStr">
        <is>
          <t>TTFT差值</t>
        </is>
      </c>
      <c r="F1" s="1" t="inlineStr">
        <is>
          <t>TTFT胜出</t>
        </is>
      </c>
      <c r="G1" s="1" t="inlineStr">
        <is>
          <t>TPOT-麦谷(ms)</t>
        </is>
      </c>
      <c r="H1" s="1" t="inlineStr">
        <is>
          <t>TPOT-STS(ms)</t>
        </is>
      </c>
      <c r="I1" s="1" t="inlineStr">
        <is>
          <t>TPOT差值</t>
        </is>
      </c>
      <c r="J1" s="1" t="inlineStr">
        <is>
          <t>TPOT胜出</t>
        </is>
      </c>
      <c r="K1" s="1" t="inlineStr">
        <is>
          <t>TPS-麦谷</t>
        </is>
      </c>
      <c r="L1" s="1" t="inlineStr">
        <is>
          <t>TPS-STS</t>
        </is>
      </c>
      <c r="M1" s="1" t="inlineStr">
        <is>
          <t>TPS差值</t>
        </is>
      </c>
      <c r="N1" s="1" t="inlineStr">
        <is>
          <t>TPS胜出</t>
        </is>
      </c>
      <c r="O1" s="1" t="inlineStr">
        <is>
          <t>评分-麦谷</t>
        </is>
      </c>
      <c r="P1" s="1" t="inlineStr">
        <is>
          <t>评分-STS</t>
        </is>
      </c>
      <c r="Q1" s="1" t="inlineStr">
        <is>
          <t>成功率-麦谷</t>
        </is>
      </c>
      <c r="R1" s="1" t="inlineStr">
        <is>
          <t>成功率-STS</t>
        </is>
      </c>
    </row>
    <row r="2">
      <c r="A2" s="6">
        <f>== 4K ===</f>
        <v/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6" t="n"/>
      <c r="L2" s="6" t="n"/>
      <c r="M2" s="6" t="n"/>
      <c r="N2" s="6" t="n"/>
      <c r="O2" s="6" t="n"/>
      <c r="P2" s="6" t="n"/>
      <c r="Q2" s="6" t="n"/>
      <c r="R2" s="6" t="n"/>
    </row>
    <row r="3">
      <c r="A3" s="3" t="inlineStr">
        <is>
          <t>4K</t>
        </is>
      </c>
      <c r="B3" s="3" t="inlineStr">
        <is>
          <t>glm-5.1</t>
        </is>
      </c>
      <c r="C3" s="4" t="n">
        <v>13.46</v>
      </c>
      <c r="D3" s="4" t="n">
        <v>16.086</v>
      </c>
      <c r="E3" s="4" t="n">
        <v>2.626</v>
      </c>
      <c r="F3" s="7" t="inlineStr">
        <is>
          <t>麦谷快</t>
        </is>
      </c>
      <c r="G3" s="4" t="n">
        <v>16.42</v>
      </c>
      <c r="H3" s="4" t="n">
        <v>13.63</v>
      </c>
      <c r="I3" s="4" t="n">
        <v>-2.79</v>
      </c>
      <c r="J3" s="7" t="inlineStr">
        <is>
          <t>STS快</t>
        </is>
      </c>
      <c r="K3" s="4" t="n">
        <v>63.54</v>
      </c>
      <c r="L3" s="4" t="n">
        <v>73.62</v>
      </c>
      <c r="M3" s="4" t="n">
        <v>10.08</v>
      </c>
      <c r="N3" s="7" t="inlineStr">
        <is>
          <t>STS高</t>
        </is>
      </c>
      <c r="O3" s="4" t="n">
        <v>55.7</v>
      </c>
      <c r="P3" s="4" t="n">
        <v>55.7</v>
      </c>
      <c r="Q3" s="4" t="n">
        <v>100</v>
      </c>
      <c r="R3" s="4" t="n">
        <v>100</v>
      </c>
    </row>
    <row r="4">
      <c r="A4" s="3" t="inlineStr">
        <is>
          <t>4K</t>
        </is>
      </c>
      <c r="B4" s="3" t="inlineStr">
        <is>
          <t>glm-5.2</t>
        </is>
      </c>
      <c r="C4" s="4" t="n">
        <v>14.241</v>
      </c>
      <c r="D4" s="4" t="n">
        <v>14.838</v>
      </c>
      <c r="E4" s="4" t="n">
        <v>0.597</v>
      </c>
      <c r="F4" s="7" t="inlineStr">
        <is>
          <t>麦谷快</t>
        </is>
      </c>
      <c r="G4" s="4" t="n">
        <v>13.27</v>
      </c>
      <c r="H4" s="4" t="n">
        <v>16.23</v>
      </c>
      <c r="I4" s="4" t="n">
        <v>2.96</v>
      </c>
      <c r="J4" s="7" t="inlineStr">
        <is>
          <t>麦谷快</t>
        </is>
      </c>
      <c r="K4" s="4" t="n">
        <v>76.18000000000001</v>
      </c>
      <c r="L4" s="4" t="n">
        <v>65.8</v>
      </c>
      <c r="M4" s="4" t="n">
        <v>-10.38</v>
      </c>
      <c r="N4" s="7" t="inlineStr">
        <is>
          <t>麦谷高</t>
        </is>
      </c>
      <c r="O4" s="4" t="n">
        <v>55.7</v>
      </c>
      <c r="P4" s="4" t="n">
        <v>53.3</v>
      </c>
      <c r="Q4" s="4" t="n">
        <v>100</v>
      </c>
      <c r="R4" s="4" t="n">
        <v>100</v>
      </c>
    </row>
    <row r="5">
      <c r="A5" s="6">
        <f>== 16K ===</f>
        <v/>
      </c>
      <c r="B5" s="6" t="n"/>
      <c r="C5" s="6" t="n"/>
      <c r="D5" s="6" t="n"/>
      <c r="E5" s="6" t="n"/>
      <c r="F5" s="6" t="n"/>
      <c r="G5" s="6" t="n"/>
      <c r="H5" s="6" t="n"/>
      <c r="I5" s="6" t="n"/>
      <c r="J5" s="6" t="n"/>
      <c r="K5" s="6" t="n"/>
      <c r="L5" s="6" t="n"/>
      <c r="M5" s="6" t="n"/>
      <c r="N5" s="6" t="n"/>
      <c r="O5" s="6" t="n"/>
      <c r="P5" s="6" t="n"/>
      <c r="Q5" s="6" t="n"/>
      <c r="R5" s="6" t="n"/>
    </row>
    <row r="6">
      <c r="A6" s="3" t="inlineStr">
        <is>
          <t>16K</t>
        </is>
      </c>
      <c r="B6" s="3" t="inlineStr">
        <is>
          <t>glm-5.1</t>
        </is>
      </c>
      <c r="C6" s="4" t="n">
        <v>15.432</v>
      </c>
      <c r="D6" s="4" t="n">
        <v>10.746</v>
      </c>
      <c r="E6" s="4" t="n">
        <v>-4.686</v>
      </c>
      <c r="F6" s="7" t="inlineStr">
        <is>
          <t>STS快</t>
        </is>
      </c>
      <c r="G6" s="4" t="n">
        <v>8.890000000000001</v>
      </c>
      <c r="H6" s="4" t="n">
        <v>12.31</v>
      </c>
      <c r="I6" s="4" t="n">
        <v>3.42</v>
      </c>
      <c r="J6" s="7" t="inlineStr">
        <is>
          <t>麦谷快</t>
        </is>
      </c>
      <c r="K6" s="4" t="n">
        <v>116.58</v>
      </c>
      <c r="L6" s="4" t="n">
        <v>83.56999999999999</v>
      </c>
      <c r="M6" s="4" t="n">
        <v>-33.01</v>
      </c>
      <c r="N6" s="7" t="inlineStr">
        <is>
          <t>麦谷高</t>
        </is>
      </c>
      <c r="O6" s="4" t="n">
        <v>55.7</v>
      </c>
      <c r="P6" s="4" t="n">
        <v>55.7</v>
      </c>
      <c r="Q6" s="4" t="n">
        <v>100</v>
      </c>
      <c r="R6" s="4" t="n">
        <v>100</v>
      </c>
    </row>
    <row r="7">
      <c r="A7" s="3" t="inlineStr">
        <is>
          <t>16K</t>
        </is>
      </c>
      <c r="B7" s="3" t="inlineStr">
        <is>
          <t>glm-5.2</t>
        </is>
      </c>
      <c r="C7" s="4" t="n">
        <v>24.716</v>
      </c>
      <c r="D7" s="4" t="n">
        <v>18.654</v>
      </c>
      <c r="E7" s="4" t="n">
        <v>-6.062</v>
      </c>
      <c r="F7" s="7" t="inlineStr">
        <is>
          <t>STS快</t>
        </is>
      </c>
      <c r="G7" s="4" t="n">
        <v>11.71</v>
      </c>
      <c r="H7" s="4" t="n">
        <v>11.63</v>
      </c>
      <c r="I7" s="4" t="n">
        <v>-0.08</v>
      </c>
      <c r="J7" s="7" t="inlineStr">
        <is>
          <t>STS快</t>
        </is>
      </c>
      <c r="K7" s="4" t="n">
        <v>91.84999999999999</v>
      </c>
      <c r="L7" s="4" t="n">
        <v>87.23</v>
      </c>
      <c r="M7" s="4" t="n">
        <v>-4.62</v>
      </c>
      <c r="N7" s="7" t="inlineStr">
        <is>
          <t>麦谷高</t>
        </is>
      </c>
      <c r="O7" s="4" t="n">
        <v>53.3</v>
      </c>
      <c r="P7" s="4" t="n">
        <v>53.3</v>
      </c>
      <c r="Q7" s="4" t="n">
        <v>100</v>
      </c>
      <c r="R7" s="4" t="n">
        <v>100</v>
      </c>
    </row>
    <row r="8">
      <c r="A8" s="6">
        <f>== 64K ===</f>
        <v/>
      </c>
      <c r="B8" s="6" t="n"/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6" t="n"/>
      <c r="M8" s="6" t="n"/>
      <c r="N8" s="6" t="n"/>
      <c r="O8" s="6" t="n"/>
      <c r="P8" s="6" t="n"/>
      <c r="Q8" s="6" t="n"/>
      <c r="R8" s="6" t="n"/>
    </row>
    <row r="9">
      <c r="A9" s="3" t="inlineStr">
        <is>
          <t>64K</t>
        </is>
      </c>
      <c r="B9" s="3" t="inlineStr">
        <is>
          <t>glm-5.1</t>
        </is>
      </c>
      <c r="C9" s="4" t="n">
        <v>13.711</v>
      </c>
      <c r="D9" s="4" t="n">
        <v>12.396</v>
      </c>
      <c r="E9" s="4" t="n">
        <v>-1.315</v>
      </c>
      <c r="F9" s="7" t="inlineStr">
        <is>
          <t>STS快</t>
        </is>
      </c>
      <c r="G9" s="4" t="n">
        <v>20.61</v>
      </c>
      <c r="H9" s="4" t="n">
        <v>14.91</v>
      </c>
      <c r="I9" s="4" t="n">
        <v>-5.7</v>
      </c>
      <c r="J9" s="7" t="inlineStr">
        <is>
          <t>STS快</t>
        </is>
      </c>
      <c r="K9" s="4" t="n">
        <v>53.45</v>
      </c>
      <c r="L9" s="4" t="n">
        <v>67.09999999999999</v>
      </c>
      <c r="M9" s="4" t="n">
        <v>13.65</v>
      </c>
      <c r="N9" s="7" t="inlineStr">
        <is>
          <t>STS高</t>
        </is>
      </c>
      <c r="O9" s="4" t="n">
        <v>51</v>
      </c>
      <c r="P9" s="4" t="n">
        <v>54.5</v>
      </c>
      <c r="Q9" s="4" t="n">
        <v>100</v>
      </c>
      <c r="R9" s="4" t="n">
        <v>100</v>
      </c>
    </row>
    <row r="10">
      <c r="A10" s="3" t="inlineStr">
        <is>
          <t>64K</t>
        </is>
      </c>
      <c r="B10" s="3" t="inlineStr">
        <is>
          <t>glm-5.2</t>
        </is>
      </c>
      <c r="C10" s="4" t="n">
        <v>20.782</v>
      </c>
      <c r="D10" s="4" t="n">
        <v>13.043</v>
      </c>
      <c r="E10" s="4" t="n">
        <v>-7.739</v>
      </c>
      <c r="F10" s="7" t="inlineStr">
        <is>
          <t>STS快</t>
        </is>
      </c>
      <c r="G10" s="4" t="n">
        <v>7.67</v>
      </c>
      <c r="H10" s="4" t="n">
        <v>11.61</v>
      </c>
      <c r="I10" s="4" t="n">
        <v>3.94</v>
      </c>
      <c r="J10" s="7" t="inlineStr">
        <is>
          <t>麦谷快</t>
        </is>
      </c>
      <c r="K10" s="4" t="n">
        <v>171.69</v>
      </c>
      <c r="L10" s="4" t="n">
        <v>86.38</v>
      </c>
      <c r="M10" s="4" t="n">
        <v>-85.31</v>
      </c>
      <c r="N10" s="7" t="inlineStr">
        <is>
          <t>麦谷高</t>
        </is>
      </c>
      <c r="O10" s="4" t="n">
        <v>54.5</v>
      </c>
      <c r="P10" s="4" t="n">
        <v>54.5</v>
      </c>
      <c r="Q10" s="4" t="n">
        <v>100</v>
      </c>
      <c r="R10" s="4" t="n">
        <v>100</v>
      </c>
    </row>
    <row r="11">
      <c r="A11" s="6">
        <f>== 128K ===</f>
        <v/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</row>
    <row r="12">
      <c r="A12" s="3" t="inlineStr">
        <is>
          <t>128K</t>
        </is>
      </c>
      <c r="B12" s="3" t="inlineStr">
        <is>
          <t>glm-5.1</t>
        </is>
      </c>
      <c r="C12" s="4" t="n">
        <v>22.353</v>
      </c>
      <c r="D12" s="4" t="n">
        <v>14.295</v>
      </c>
      <c r="E12" s="4" t="n">
        <v>-8.058</v>
      </c>
      <c r="F12" s="7" t="inlineStr">
        <is>
          <t>STS快</t>
        </is>
      </c>
      <c r="G12" s="4" t="n">
        <v>11.37</v>
      </c>
      <c r="H12" s="4" t="n">
        <v>12.46</v>
      </c>
      <c r="I12" s="4" t="n">
        <v>1.09</v>
      </c>
      <c r="J12" s="7" t="inlineStr">
        <is>
          <t>麦谷快</t>
        </is>
      </c>
      <c r="K12" s="4" t="n">
        <v>88.69</v>
      </c>
      <c r="L12" s="4" t="n">
        <v>80.29000000000001</v>
      </c>
      <c r="M12" s="4" t="n">
        <v>-8.4</v>
      </c>
      <c r="N12" s="7" t="inlineStr">
        <is>
          <t>麦谷高</t>
        </is>
      </c>
      <c r="O12" s="4" t="n">
        <v>51</v>
      </c>
      <c r="P12" s="4" t="n">
        <v>54.5</v>
      </c>
      <c r="Q12" s="4" t="n">
        <v>100</v>
      </c>
      <c r="R12" s="4" t="n">
        <v>100</v>
      </c>
    </row>
    <row r="13">
      <c r="A13" s="3" t="inlineStr">
        <is>
          <t>128K</t>
        </is>
      </c>
      <c r="B13" s="3" t="inlineStr">
        <is>
          <t>glm-5.2</t>
        </is>
      </c>
      <c r="C13" s="4" t="n">
        <v>21.017</v>
      </c>
      <c r="D13" s="4" t="n">
        <v>15.848</v>
      </c>
      <c r="E13" s="4" t="n">
        <v>-5.169</v>
      </c>
      <c r="F13" s="7" t="inlineStr">
        <is>
          <t>STS快</t>
        </is>
      </c>
      <c r="G13" s="4" t="n">
        <v>16.45</v>
      </c>
      <c r="H13" s="4" t="n">
        <v>12.21</v>
      </c>
      <c r="I13" s="4" t="n">
        <v>-4.24</v>
      </c>
      <c r="J13" s="7" t="inlineStr">
        <is>
          <t>STS快</t>
        </is>
      </c>
      <c r="K13" s="4" t="n">
        <v>62.36</v>
      </c>
      <c r="L13" s="4" t="n">
        <v>81.91</v>
      </c>
      <c r="M13" s="4" t="n">
        <v>19.55</v>
      </c>
      <c r="N13" s="7" t="inlineStr">
        <is>
          <t>STS高</t>
        </is>
      </c>
      <c r="O13" s="4" t="n">
        <v>51</v>
      </c>
      <c r="P13" s="4" t="n">
        <v>54.5</v>
      </c>
      <c r="Q13" s="4" t="n">
        <v>100</v>
      </c>
      <c r="R13" s="4" t="n">
        <v>100</v>
      </c>
    </row>
  </sheetData>
  <mergeCells count="4">
    <mergeCell ref="A8:R8"/>
    <mergeCell ref="A2:R2"/>
    <mergeCell ref="A11:R11"/>
    <mergeCell ref="A5:R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  <col width="8" customWidth="1" min="9" max="9"/>
    <col width="12" customWidth="1" min="10" max="10"/>
    <col width="10" customWidth="1" min="11" max="11"/>
    <col width="12" customWidth="1" min="12" max="12"/>
    <col width="8" customWidth="1" min="13" max="13"/>
    <col width="40" customWidth="1" min="14" max="14"/>
  </cols>
  <sheetData>
    <row r="1">
      <c r="A1" s="1" t="inlineStr">
        <is>
          <t>端点</t>
        </is>
      </c>
      <c r="B1" s="1" t="inlineStr">
        <is>
          <t>模型</t>
        </is>
      </c>
      <c r="C1" s="1" t="inlineStr">
        <is>
          <t>上下文</t>
        </is>
      </c>
      <c r="D1" s="1" t="inlineStr">
        <is>
          <t>样本#</t>
        </is>
      </c>
      <c r="E1" s="1" t="inlineStr">
        <is>
          <t>输入Tokens</t>
        </is>
      </c>
      <c r="F1" s="1" t="inlineStr">
        <is>
          <t>输出Tokens</t>
        </is>
      </c>
      <c r="G1" s="1" t="inlineStr">
        <is>
          <t>TTFT(s)</t>
        </is>
      </c>
      <c r="H1" s="1" t="inlineStr">
        <is>
          <t>TPOT(ms)</t>
        </is>
      </c>
      <c r="I1" s="1" t="inlineStr">
        <is>
          <t>TPS</t>
        </is>
      </c>
      <c r="J1" s="1" t="inlineStr">
        <is>
          <t>总耗时(s)</t>
        </is>
      </c>
      <c r="K1" s="1" t="inlineStr">
        <is>
          <t>任务评分</t>
        </is>
      </c>
      <c r="L1" s="1" t="inlineStr">
        <is>
          <t>思考chunks</t>
        </is>
      </c>
      <c r="M1" s="1" t="inlineStr">
        <is>
          <t>成功</t>
        </is>
      </c>
      <c r="N1" s="1" t="inlineStr">
        <is>
          <t>错误信息</t>
        </is>
      </c>
    </row>
    <row r="2">
      <c r="A2" s="2" t="inlineStr">
        <is>
          <t>STS中转</t>
        </is>
      </c>
      <c r="B2" s="3" t="inlineStr">
        <is>
          <t>glm-5.1</t>
        </is>
      </c>
      <c r="C2" s="3" t="inlineStr">
        <is>
          <t>128K</t>
        </is>
      </c>
      <c r="D2" s="3" t="n">
        <v>1</v>
      </c>
      <c r="E2" s="4" t="n">
        <v>126000</v>
      </c>
      <c r="F2" s="4" t="n">
        <v>269</v>
      </c>
      <c r="G2" s="4" t="n">
        <v>13.362</v>
      </c>
      <c r="H2" s="4" t="n">
        <v>12.5</v>
      </c>
      <c r="I2" s="4" t="n">
        <v>79.98999999999999</v>
      </c>
      <c r="J2" s="4" t="n">
        <v>16.732</v>
      </c>
      <c r="K2" s="4" t="n">
        <v>58</v>
      </c>
      <c r="L2" s="4" t="n">
        <v>495</v>
      </c>
      <c r="M2" s="3" t="inlineStr">
        <is>
          <t>✓</t>
        </is>
      </c>
      <c r="N2" s="3" t="inlineStr"/>
    </row>
    <row r="3">
      <c r="A3" s="2" t="inlineStr">
        <is>
          <t>STS中转</t>
        </is>
      </c>
      <c r="B3" s="3" t="inlineStr">
        <is>
          <t>glm-5.1</t>
        </is>
      </c>
      <c r="C3" s="3" t="inlineStr">
        <is>
          <t>128K</t>
        </is>
      </c>
      <c r="D3" s="3" t="n">
        <v>2</v>
      </c>
      <c r="E3" s="4" t="n">
        <v>126000</v>
      </c>
      <c r="F3" s="4" t="n">
        <v>197</v>
      </c>
      <c r="G3" s="4" t="n">
        <v>15.228</v>
      </c>
      <c r="H3" s="4" t="n">
        <v>12.41</v>
      </c>
      <c r="I3" s="4" t="n">
        <v>80.59</v>
      </c>
      <c r="J3" s="4" t="n">
        <v>17.684</v>
      </c>
      <c r="K3" s="4" t="n">
        <v>51</v>
      </c>
      <c r="L3" s="4" t="n">
        <v>515</v>
      </c>
      <c r="M3" s="3" t="inlineStr">
        <is>
          <t>✓</t>
        </is>
      </c>
      <c r="N3" s="3" t="inlineStr"/>
    </row>
    <row r="4">
      <c r="A4" s="2" t="inlineStr">
        <is>
          <t>STS中转</t>
        </is>
      </c>
      <c r="B4" s="3" t="inlineStr">
        <is>
          <t>glm-5.1</t>
        </is>
      </c>
      <c r="C4" s="3" t="inlineStr">
        <is>
          <t>16K</t>
        </is>
      </c>
      <c r="D4" s="3" t="n">
        <v>1</v>
      </c>
      <c r="E4" s="4" t="n">
        <v>14000</v>
      </c>
      <c r="F4" s="4" t="n">
        <v>219</v>
      </c>
      <c r="G4" s="4" t="n">
        <v>10.182</v>
      </c>
      <c r="H4" s="4" t="n">
        <v>14.93</v>
      </c>
      <c r="I4" s="4" t="n">
        <v>66.95999999999999</v>
      </c>
      <c r="J4" s="4" t="n">
        <v>13.456</v>
      </c>
      <c r="K4" s="4" t="n">
        <v>51</v>
      </c>
      <c r="L4" s="4" t="n">
        <v>328</v>
      </c>
      <c r="M4" s="3" t="inlineStr">
        <is>
          <t>✓</t>
        </is>
      </c>
      <c r="N4" s="3" t="inlineStr"/>
    </row>
    <row r="5">
      <c r="A5" s="2" t="inlineStr">
        <is>
          <t>STS中转</t>
        </is>
      </c>
      <c r="B5" s="3" t="inlineStr">
        <is>
          <t>glm-5.1</t>
        </is>
      </c>
      <c r="C5" s="3" t="inlineStr">
        <is>
          <t>16K</t>
        </is>
      </c>
      <c r="D5" s="3" t="n">
        <v>2</v>
      </c>
      <c r="E5" s="4" t="n">
        <v>14000</v>
      </c>
      <c r="F5" s="4" t="n">
        <v>211</v>
      </c>
      <c r="G5" s="4" t="n">
        <v>10.218</v>
      </c>
      <c r="H5" s="4" t="n">
        <v>9.859999999999999</v>
      </c>
      <c r="I5" s="4" t="n">
        <v>101.4</v>
      </c>
      <c r="J5" s="4" t="n">
        <v>12.353</v>
      </c>
      <c r="K5" s="4" t="n">
        <v>58</v>
      </c>
      <c r="L5" s="4" t="n">
        <v>601</v>
      </c>
      <c r="M5" s="3" t="inlineStr">
        <is>
          <t>✓</t>
        </is>
      </c>
      <c r="N5" s="3" t="inlineStr"/>
    </row>
    <row r="6">
      <c r="A6" s="2" t="inlineStr">
        <is>
          <t>STS中转</t>
        </is>
      </c>
      <c r="B6" s="3" t="inlineStr">
        <is>
          <t>glm-5.1</t>
        </is>
      </c>
      <c r="C6" s="3" t="inlineStr">
        <is>
          <t>16K</t>
        </is>
      </c>
      <c r="D6" s="3" t="n">
        <v>3</v>
      </c>
      <c r="E6" s="4" t="n">
        <v>14000</v>
      </c>
      <c r="F6" s="4" t="n">
        <v>223</v>
      </c>
      <c r="G6" s="4" t="n">
        <v>11.837</v>
      </c>
      <c r="H6" s="4" t="n">
        <v>12.14</v>
      </c>
      <c r="I6" s="4" t="n">
        <v>82.36</v>
      </c>
      <c r="J6" s="4" t="n">
        <v>14.611</v>
      </c>
      <c r="K6" s="4" t="n">
        <v>58</v>
      </c>
      <c r="L6" s="4" t="n">
        <v>597</v>
      </c>
      <c r="M6" s="3" t="inlineStr">
        <is>
          <t>✓</t>
        </is>
      </c>
      <c r="N6" s="3" t="inlineStr"/>
    </row>
    <row r="7">
      <c r="A7" s="2" t="inlineStr">
        <is>
          <t>STS中转</t>
        </is>
      </c>
      <c r="B7" s="3" t="inlineStr">
        <is>
          <t>glm-5.1</t>
        </is>
      </c>
      <c r="C7" s="3" t="inlineStr">
        <is>
          <t>4K</t>
        </is>
      </c>
      <c r="D7" s="3" t="n">
        <v>1</v>
      </c>
      <c r="E7" s="4" t="n">
        <v>3072</v>
      </c>
      <c r="F7" s="4" t="n">
        <v>201</v>
      </c>
      <c r="G7" s="4" t="n">
        <v>19.631</v>
      </c>
      <c r="H7" s="4" t="n">
        <v>13.48</v>
      </c>
      <c r="I7" s="4" t="n">
        <v>74.2</v>
      </c>
      <c r="J7" s="4" t="n">
        <v>22.34</v>
      </c>
      <c r="K7" s="4" t="n">
        <v>58</v>
      </c>
      <c r="L7" s="4" t="n">
        <v>637</v>
      </c>
      <c r="M7" s="3" t="inlineStr">
        <is>
          <t>✓</t>
        </is>
      </c>
      <c r="N7" s="3" t="inlineStr"/>
    </row>
    <row r="8">
      <c r="A8" s="2" t="inlineStr">
        <is>
          <t>STS中转</t>
        </is>
      </c>
      <c r="B8" s="3" t="inlineStr">
        <is>
          <t>glm-5.1</t>
        </is>
      </c>
      <c r="C8" s="3" t="inlineStr">
        <is>
          <t>4K</t>
        </is>
      </c>
      <c r="D8" s="3" t="n">
        <v>2</v>
      </c>
      <c r="E8" s="4" t="n">
        <v>3072</v>
      </c>
      <c r="F8" s="4" t="n">
        <v>178</v>
      </c>
      <c r="G8" s="4" t="n">
        <v>15.502</v>
      </c>
      <c r="H8" s="4" t="n">
        <v>12.7</v>
      </c>
      <c r="I8" s="4" t="n">
        <v>78.73</v>
      </c>
      <c r="J8" s="4" t="n">
        <v>17.777</v>
      </c>
      <c r="K8" s="4" t="n">
        <v>51</v>
      </c>
      <c r="L8" s="4" t="n">
        <v>794</v>
      </c>
      <c r="M8" s="3" t="inlineStr">
        <is>
          <t>✓</t>
        </is>
      </c>
      <c r="N8" s="3" t="inlineStr"/>
    </row>
    <row r="9">
      <c r="A9" s="2" t="inlineStr">
        <is>
          <t>STS中转</t>
        </is>
      </c>
      <c r="B9" s="3" t="inlineStr">
        <is>
          <t>glm-5.1</t>
        </is>
      </c>
      <c r="C9" s="3" t="inlineStr">
        <is>
          <t>4K</t>
        </is>
      </c>
      <c r="D9" s="3" t="n">
        <v>3</v>
      </c>
      <c r="E9" s="4" t="n">
        <v>3072</v>
      </c>
      <c r="F9" s="4" t="n">
        <v>234</v>
      </c>
      <c r="G9" s="4" t="n">
        <v>13.124</v>
      </c>
      <c r="H9" s="4" t="n">
        <v>14.72</v>
      </c>
      <c r="I9" s="4" t="n">
        <v>67.93000000000001</v>
      </c>
      <c r="J9" s="4" t="n">
        <v>16.721</v>
      </c>
      <c r="K9" s="4" t="n">
        <v>58</v>
      </c>
      <c r="L9" s="4" t="n">
        <v>504</v>
      </c>
      <c r="M9" s="3" t="inlineStr">
        <is>
          <t>✓</t>
        </is>
      </c>
      <c r="N9" s="3" t="inlineStr"/>
    </row>
    <row r="10">
      <c r="A10" s="2" t="inlineStr">
        <is>
          <t>STS中转</t>
        </is>
      </c>
      <c r="B10" s="3" t="inlineStr">
        <is>
          <t>glm-5.1</t>
        </is>
      </c>
      <c r="C10" s="3" t="inlineStr">
        <is>
          <t>64K</t>
        </is>
      </c>
      <c r="D10" s="3" t="n">
        <v>1</v>
      </c>
      <c r="E10" s="4" t="n">
        <v>62000</v>
      </c>
      <c r="F10" s="4" t="n">
        <v>188</v>
      </c>
      <c r="G10" s="4" t="n">
        <v>12.319</v>
      </c>
      <c r="H10" s="4" t="n">
        <v>14.52</v>
      </c>
      <c r="I10" s="4" t="n">
        <v>68.86</v>
      </c>
      <c r="J10" s="4" t="n">
        <v>15.059</v>
      </c>
      <c r="K10" s="4" t="n">
        <v>51</v>
      </c>
      <c r="L10" s="4" t="n">
        <v>521</v>
      </c>
      <c r="M10" s="3" t="inlineStr">
        <is>
          <t>✓</t>
        </is>
      </c>
      <c r="N10" s="3" t="inlineStr"/>
    </row>
    <row r="11">
      <c r="A11" s="2" t="inlineStr">
        <is>
          <t>STS中转</t>
        </is>
      </c>
      <c r="B11" s="3" t="inlineStr">
        <is>
          <t>glm-5.1</t>
        </is>
      </c>
      <c r="C11" s="3" t="inlineStr">
        <is>
          <t>64K</t>
        </is>
      </c>
      <c r="D11" s="3" t="n">
        <v>2</v>
      </c>
      <c r="E11" s="4" t="n">
        <v>62000</v>
      </c>
      <c r="F11" s="4" t="n">
        <v>282</v>
      </c>
      <c r="G11" s="4" t="n">
        <v>12.473</v>
      </c>
      <c r="H11" s="4" t="n">
        <v>15.3</v>
      </c>
      <c r="I11" s="4" t="n">
        <v>65.34999999999999</v>
      </c>
      <c r="J11" s="4" t="n">
        <v>16.803</v>
      </c>
      <c r="K11" s="4" t="n">
        <v>58</v>
      </c>
      <c r="L11" s="4" t="n">
        <v>471</v>
      </c>
      <c r="M11" s="3" t="inlineStr">
        <is>
          <t>✓</t>
        </is>
      </c>
      <c r="N11" s="3" t="inlineStr"/>
    </row>
    <row r="12">
      <c r="A12" s="2" t="inlineStr">
        <is>
          <t>STS中转</t>
        </is>
      </c>
      <c r="B12" s="3" t="inlineStr">
        <is>
          <t>glm-5.2</t>
        </is>
      </c>
      <c r="C12" s="3" t="inlineStr">
        <is>
          <t>128K</t>
        </is>
      </c>
      <c r="D12" s="3" t="n">
        <v>1</v>
      </c>
      <c r="E12" s="4" t="n">
        <v>126000</v>
      </c>
      <c r="F12" s="4" t="n">
        <v>285</v>
      </c>
      <c r="G12" s="4" t="n">
        <v>15.135</v>
      </c>
      <c r="H12" s="4" t="n">
        <v>12.23</v>
      </c>
      <c r="I12" s="4" t="n">
        <v>81.78</v>
      </c>
      <c r="J12" s="4" t="n">
        <v>18.673</v>
      </c>
      <c r="K12" s="4" t="n">
        <v>58</v>
      </c>
      <c r="L12" s="4" t="n">
        <v>599</v>
      </c>
      <c r="M12" s="3" t="inlineStr">
        <is>
          <t>✓</t>
        </is>
      </c>
      <c r="N12" s="3" t="inlineStr"/>
    </row>
    <row r="13">
      <c r="A13" s="2" t="inlineStr">
        <is>
          <t>STS中转</t>
        </is>
      </c>
      <c r="B13" s="3" t="inlineStr">
        <is>
          <t>glm-5.2</t>
        </is>
      </c>
      <c r="C13" s="3" t="inlineStr">
        <is>
          <t>128K</t>
        </is>
      </c>
      <c r="D13" s="3" t="n">
        <v>2</v>
      </c>
      <c r="E13" s="4" t="n">
        <v>126000</v>
      </c>
      <c r="F13" s="4" t="n">
        <v>222</v>
      </c>
      <c r="G13" s="4" t="n">
        <v>16.56</v>
      </c>
      <c r="H13" s="4" t="n">
        <v>12.19</v>
      </c>
      <c r="I13" s="4" t="n">
        <v>82.05</v>
      </c>
      <c r="J13" s="4" t="n">
        <v>19.276</v>
      </c>
      <c r="K13" s="4" t="n">
        <v>51</v>
      </c>
      <c r="L13" s="4" t="n">
        <v>765</v>
      </c>
      <c r="M13" s="3" t="inlineStr">
        <is>
          <t>✓</t>
        </is>
      </c>
      <c r="N13" s="3" t="inlineStr"/>
    </row>
    <row r="14">
      <c r="A14" s="2" t="inlineStr">
        <is>
          <t>STS中转</t>
        </is>
      </c>
      <c r="B14" s="3" t="inlineStr">
        <is>
          <t>glm-5.2</t>
        </is>
      </c>
      <c r="C14" s="3" t="inlineStr">
        <is>
          <t>16K</t>
        </is>
      </c>
      <c r="D14" s="3" t="n">
        <v>1</v>
      </c>
      <c r="E14" s="4" t="n">
        <v>14000</v>
      </c>
      <c r="F14" s="4" t="n">
        <v>216</v>
      </c>
      <c r="G14" s="4" t="n">
        <v>23.226</v>
      </c>
      <c r="H14" s="4" t="n">
        <v>13.06</v>
      </c>
      <c r="I14" s="4" t="n">
        <v>76.56</v>
      </c>
      <c r="J14" s="4" t="n">
        <v>26.058</v>
      </c>
      <c r="K14" s="4" t="n">
        <v>51</v>
      </c>
      <c r="L14" s="4" t="n">
        <v>748</v>
      </c>
      <c r="M14" s="3" t="inlineStr">
        <is>
          <t>✓</t>
        </is>
      </c>
      <c r="N14" s="3" t="inlineStr"/>
    </row>
    <row r="15">
      <c r="A15" s="2" t="inlineStr">
        <is>
          <t>STS中转</t>
        </is>
      </c>
      <c r="B15" s="3" t="inlineStr">
        <is>
          <t>glm-5.2</t>
        </is>
      </c>
      <c r="C15" s="3" t="inlineStr">
        <is>
          <t>16K</t>
        </is>
      </c>
      <c r="D15" s="3" t="n">
        <v>2</v>
      </c>
      <c r="E15" s="4" t="n">
        <v>14000</v>
      </c>
      <c r="F15" s="4" t="n">
        <v>191</v>
      </c>
      <c r="G15" s="4" t="n">
        <v>15.368</v>
      </c>
      <c r="H15" s="4" t="n">
        <v>12.05</v>
      </c>
      <c r="I15" s="4" t="n">
        <v>83</v>
      </c>
      <c r="J15" s="4" t="n">
        <v>17.669</v>
      </c>
      <c r="K15" s="4" t="n">
        <v>51</v>
      </c>
      <c r="L15" s="4" t="n">
        <v>861</v>
      </c>
      <c r="M15" s="3" t="inlineStr">
        <is>
          <t>✓</t>
        </is>
      </c>
      <c r="N15" s="3" t="inlineStr"/>
    </row>
    <row r="16">
      <c r="A16" s="2" t="inlineStr">
        <is>
          <t>STS中转</t>
        </is>
      </c>
      <c r="B16" s="3" t="inlineStr">
        <is>
          <t>glm-5.2</t>
        </is>
      </c>
      <c r="C16" s="3" t="inlineStr">
        <is>
          <t>16K</t>
        </is>
      </c>
      <c r="D16" s="3" t="n">
        <v>3</v>
      </c>
      <c r="E16" s="4" t="n">
        <v>14000</v>
      </c>
      <c r="F16" s="4" t="n">
        <v>207</v>
      </c>
      <c r="G16" s="4" t="n">
        <v>17.367</v>
      </c>
      <c r="H16" s="4" t="n">
        <v>9.789999999999999</v>
      </c>
      <c r="I16" s="4" t="n">
        <v>102.14</v>
      </c>
      <c r="J16" s="4" t="n">
        <v>19.456</v>
      </c>
      <c r="K16" s="4" t="n">
        <v>58</v>
      </c>
      <c r="L16" s="4" t="n">
        <v>1063</v>
      </c>
      <c r="M16" s="3" t="inlineStr">
        <is>
          <t>✓</t>
        </is>
      </c>
      <c r="N16" s="3" t="inlineStr"/>
    </row>
    <row r="17">
      <c r="A17" s="2" t="inlineStr">
        <is>
          <t>STS中转</t>
        </is>
      </c>
      <c r="B17" s="3" t="inlineStr">
        <is>
          <t>glm-5.2</t>
        </is>
      </c>
      <c r="C17" s="3" t="inlineStr">
        <is>
          <t>4K</t>
        </is>
      </c>
      <c r="D17" s="3" t="n">
        <v>1</v>
      </c>
      <c r="E17" s="4" t="n">
        <v>3072</v>
      </c>
      <c r="F17" s="4" t="n">
        <v>188</v>
      </c>
      <c r="G17" s="4" t="n">
        <v>11.914</v>
      </c>
      <c r="H17" s="4" t="n">
        <v>18.08</v>
      </c>
      <c r="I17" s="4" t="n">
        <v>55.3</v>
      </c>
      <c r="J17" s="4" t="n">
        <v>15.318</v>
      </c>
      <c r="K17" s="4" t="n">
        <v>51</v>
      </c>
      <c r="L17" s="4" t="n">
        <v>416</v>
      </c>
      <c r="M17" s="3" t="inlineStr">
        <is>
          <t>✓</t>
        </is>
      </c>
      <c r="N17" s="3" t="inlineStr"/>
    </row>
    <row r="18">
      <c r="A18" s="2" t="inlineStr">
        <is>
          <t>STS中转</t>
        </is>
      </c>
      <c r="B18" s="3" t="inlineStr">
        <is>
          <t>glm-5.2</t>
        </is>
      </c>
      <c r="C18" s="3" t="inlineStr">
        <is>
          <t>4K</t>
        </is>
      </c>
      <c r="D18" s="3" t="n">
        <v>2</v>
      </c>
      <c r="E18" s="4" t="n">
        <v>3072</v>
      </c>
      <c r="F18" s="4" t="n">
        <v>182</v>
      </c>
      <c r="G18" s="4" t="n">
        <v>15.269</v>
      </c>
      <c r="H18" s="4" t="n">
        <v>10.97</v>
      </c>
      <c r="I18" s="4" t="n">
        <v>91.19</v>
      </c>
      <c r="J18" s="4" t="n">
        <v>17.335</v>
      </c>
      <c r="K18" s="4" t="n">
        <v>51</v>
      </c>
      <c r="L18" s="4" t="n">
        <v>1022</v>
      </c>
      <c r="M18" s="3" t="inlineStr">
        <is>
          <t>✓</t>
        </is>
      </c>
      <c r="N18" s="3" t="inlineStr"/>
    </row>
    <row r="19">
      <c r="A19" s="2" t="inlineStr">
        <is>
          <t>STS中转</t>
        </is>
      </c>
      <c r="B19" s="3" t="inlineStr">
        <is>
          <t>glm-5.2</t>
        </is>
      </c>
      <c r="C19" s="3" t="inlineStr">
        <is>
          <t>4K</t>
        </is>
      </c>
      <c r="D19" s="3" t="n">
        <v>3</v>
      </c>
      <c r="E19" s="4" t="n">
        <v>3072</v>
      </c>
      <c r="F19" s="4" t="n">
        <v>220</v>
      </c>
      <c r="G19" s="4" t="n">
        <v>17.332</v>
      </c>
      <c r="H19" s="4" t="n">
        <v>19.64</v>
      </c>
      <c r="I19" s="4" t="n">
        <v>50.9</v>
      </c>
      <c r="J19" s="4" t="n">
        <v>21.653</v>
      </c>
      <c r="K19" s="4" t="n">
        <v>58</v>
      </c>
      <c r="L19" s="4" t="n">
        <v>741</v>
      </c>
      <c r="M19" s="3" t="inlineStr">
        <is>
          <t>✓</t>
        </is>
      </c>
      <c r="N19" s="3" t="inlineStr"/>
    </row>
    <row r="20">
      <c r="A20" s="2" t="inlineStr">
        <is>
          <t>STS中转</t>
        </is>
      </c>
      <c r="B20" s="3" t="inlineStr">
        <is>
          <t>glm-5.2</t>
        </is>
      </c>
      <c r="C20" s="3" t="inlineStr">
        <is>
          <t>64K</t>
        </is>
      </c>
      <c r="D20" s="3" t="n">
        <v>1</v>
      </c>
      <c r="E20" s="4" t="n">
        <v>62000</v>
      </c>
      <c r="F20" s="4" t="n">
        <v>239</v>
      </c>
      <c r="G20" s="4" t="n">
        <v>11.125</v>
      </c>
      <c r="H20" s="4" t="n">
        <v>11.07</v>
      </c>
      <c r="I20" s="4" t="n">
        <v>90.37</v>
      </c>
      <c r="J20" s="4" t="n">
        <v>13.77</v>
      </c>
      <c r="K20" s="4" t="n">
        <v>58</v>
      </c>
      <c r="L20" s="4" t="n">
        <v>511</v>
      </c>
      <c r="M20" s="3" t="inlineStr">
        <is>
          <t>✓</t>
        </is>
      </c>
      <c r="N20" s="3" t="inlineStr"/>
    </row>
    <row r="21">
      <c r="A21" s="2" t="inlineStr">
        <is>
          <t>STS中转</t>
        </is>
      </c>
      <c r="B21" s="3" t="inlineStr">
        <is>
          <t>glm-5.2</t>
        </is>
      </c>
      <c r="C21" s="3" t="inlineStr">
        <is>
          <t>64K</t>
        </is>
      </c>
      <c r="D21" s="3" t="n">
        <v>2</v>
      </c>
      <c r="E21" s="4" t="n">
        <v>62000</v>
      </c>
      <c r="F21" s="4" t="n">
        <v>171</v>
      </c>
      <c r="G21" s="4" t="n">
        <v>14.96</v>
      </c>
      <c r="H21" s="4" t="n">
        <v>12.14</v>
      </c>
      <c r="I21" s="4" t="n">
        <v>82.38</v>
      </c>
      <c r="J21" s="4" t="n">
        <v>17.095</v>
      </c>
      <c r="K21" s="4" t="n">
        <v>51</v>
      </c>
      <c r="L21" s="4" t="n">
        <v>529</v>
      </c>
      <c r="M21" s="3" t="inlineStr">
        <is>
          <t>✓</t>
        </is>
      </c>
      <c r="N21" s="3" t="inlineStr"/>
    </row>
    <row r="22">
      <c r="A22" s="5" t="inlineStr">
        <is>
          <t>麦谷上游</t>
        </is>
      </c>
      <c r="B22" s="3" t="inlineStr">
        <is>
          <t>glm-5.1</t>
        </is>
      </c>
      <c r="C22" s="3" t="inlineStr">
        <is>
          <t>128K</t>
        </is>
      </c>
      <c r="D22" s="3" t="n">
        <v>1</v>
      </c>
      <c r="E22" s="4" t="n">
        <v>126000</v>
      </c>
      <c r="F22" s="4" t="n">
        <v>168</v>
      </c>
      <c r="G22" s="4" t="n">
        <v>25.046</v>
      </c>
      <c r="H22" s="4" t="n">
        <v>10.33</v>
      </c>
      <c r="I22" s="4" t="n">
        <v>96.77</v>
      </c>
      <c r="J22" s="4" t="n">
        <v>26.782</v>
      </c>
      <c r="K22" s="4" t="n">
        <v>51</v>
      </c>
      <c r="L22" s="4" t="n">
        <v>513</v>
      </c>
      <c r="M22" s="3" t="inlineStr">
        <is>
          <t>✓</t>
        </is>
      </c>
      <c r="N22" s="3" t="inlineStr"/>
    </row>
    <row r="23">
      <c r="A23" s="5" t="inlineStr">
        <is>
          <t>麦谷上游</t>
        </is>
      </c>
      <c r="B23" s="3" t="inlineStr">
        <is>
          <t>glm-5.1</t>
        </is>
      </c>
      <c r="C23" s="3" t="inlineStr">
        <is>
          <t>128K</t>
        </is>
      </c>
      <c r="D23" s="3" t="n">
        <v>2</v>
      </c>
      <c r="E23" s="4" t="n">
        <v>126000</v>
      </c>
      <c r="F23" s="4" t="n">
        <v>197</v>
      </c>
      <c r="G23" s="4" t="n">
        <v>19.66</v>
      </c>
      <c r="H23" s="4" t="n">
        <v>12.41</v>
      </c>
      <c r="I23" s="4" t="n">
        <v>80.59999999999999</v>
      </c>
      <c r="J23" s="4" t="n">
        <v>22.104</v>
      </c>
      <c r="K23" s="4" t="n">
        <v>51</v>
      </c>
      <c r="L23" s="4" t="n">
        <v>392</v>
      </c>
      <c r="M23" s="3" t="inlineStr">
        <is>
          <t>✓</t>
        </is>
      </c>
      <c r="N23" s="3" t="inlineStr"/>
    </row>
    <row r="24">
      <c r="A24" s="5" t="inlineStr">
        <is>
          <t>麦谷上游</t>
        </is>
      </c>
      <c r="B24" s="3" t="inlineStr">
        <is>
          <t>glm-5.1</t>
        </is>
      </c>
      <c r="C24" s="3" t="inlineStr">
        <is>
          <t>16K</t>
        </is>
      </c>
      <c r="D24" s="3" t="n">
        <v>1</v>
      </c>
      <c r="E24" s="4" t="n">
        <v>14000</v>
      </c>
      <c r="F24" s="4" t="n">
        <v>206</v>
      </c>
      <c r="G24" s="4" t="n">
        <v>13.536</v>
      </c>
      <c r="H24" s="4" t="n">
        <v>8.6</v>
      </c>
      <c r="I24" s="4" t="n">
        <v>116.25</v>
      </c>
      <c r="J24" s="4" t="n">
        <v>15.31</v>
      </c>
      <c r="K24" s="4" t="n">
        <v>58</v>
      </c>
      <c r="L24" s="4" t="n">
        <v>586</v>
      </c>
      <c r="M24" s="3" t="inlineStr">
        <is>
          <t>✓</t>
        </is>
      </c>
      <c r="N24" s="3" t="inlineStr"/>
    </row>
    <row r="25">
      <c r="A25" s="5" t="inlineStr">
        <is>
          <t>麦谷上游</t>
        </is>
      </c>
      <c r="B25" s="3" t="inlineStr">
        <is>
          <t>glm-5.1</t>
        </is>
      </c>
      <c r="C25" s="3" t="inlineStr">
        <is>
          <t>16K</t>
        </is>
      </c>
      <c r="D25" s="3" t="n">
        <v>2</v>
      </c>
      <c r="E25" s="4" t="n">
        <v>14000</v>
      </c>
      <c r="F25" s="4" t="n">
        <v>211</v>
      </c>
      <c r="G25" s="4" t="n">
        <v>17.78</v>
      </c>
      <c r="H25" s="4" t="n">
        <v>6.97</v>
      </c>
      <c r="I25" s="4" t="n">
        <v>143.5</v>
      </c>
      <c r="J25" s="4" t="n">
        <v>19.25</v>
      </c>
      <c r="K25" s="4" t="n">
        <v>58</v>
      </c>
      <c r="L25" s="4" t="n">
        <v>937</v>
      </c>
      <c r="M25" s="3" t="inlineStr">
        <is>
          <t>✓</t>
        </is>
      </c>
      <c r="N25" s="3" t="inlineStr"/>
    </row>
    <row r="26">
      <c r="A26" s="5" t="inlineStr">
        <is>
          <t>麦谷上游</t>
        </is>
      </c>
      <c r="B26" s="3" t="inlineStr">
        <is>
          <t>glm-5.1</t>
        </is>
      </c>
      <c r="C26" s="3" t="inlineStr">
        <is>
          <t>16K</t>
        </is>
      </c>
      <c r="D26" s="3" t="n">
        <v>3</v>
      </c>
      <c r="E26" s="4" t="n">
        <v>14000</v>
      </c>
      <c r="F26" s="4" t="n">
        <v>193</v>
      </c>
      <c r="G26" s="4" t="n">
        <v>14.981</v>
      </c>
      <c r="H26" s="4" t="n">
        <v>11.11</v>
      </c>
      <c r="I26" s="4" t="n">
        <v>89.98999999999999</v>
      </c>
      <c r="J26" s="4" t="n">
        <v>17.126</v>
      </c>
      <c r="K26" s="4" t="n">
        <v>51</v>
      </c>
      <c r="L26" s="4" t="n">
        <v>757</v>
      </c>
      <c r="M26" s="3" t="inlineStr">
        <is>
          <t>✓</t>
        </is>
      </c>
      <c r="N26" s="3" t="inlineStr"/>
    </row>
    <row r="27">
      <c r="A27" s="5" t="inlineStr">
        <is>
          <t>麦谷上游</t>
        </is>
      </c>
      <c r="B27" s="3" t="inlineStr">
        <is>
          <t>glm-5.1</t>
        </is>
      </c>
      <c r="C27" s="3" t="inlineStr">
        <is>
          <t>4K</t>
        </is>
      </c>
      <c r="D27" s="3" t="n">
        <v>1</v>
      </c>
      <c r="E27" s="4" t="n">
        <v>3072</v>
      </c>
      <c r="F27" s="4" t="n">
        <v>194</v>
      </c>
      <c r="G27" s="4" t="n">
        <v>11.119</v>
      </c>
      <c r="H27" s="4" t="n">
        <v>20</v>
      </c>
      <c r="I27" s="4" t="n">
        <v>50</v>
      </c>
      <c r="J27" s="4" t="n">
        <v>14.999</v>
      </c>
      <c r="K27" s="4" t="n">
        <v>58</v>
      </c>
      <c r="L27" s="4" t="n">
        <v>653</v>
      </c>
      <c r="M27" s="3" t="inlineStr">
        <is>
          <t>✓</t>
        </is>
      </c>
      <c r="N27" s="3" t="inlineStr"/>
    </row>
    <row r="28">
      <c r="A28" s="5" t="inlineStr">
        <is>
          <t>麦谷上游</t>
        </is>
      </c>
      <c r="B28" s="3" t="inlineStr">
        <is>
          <t>glm-5.1</t>
        </is>
      </c>
      <c r="C28" s="3" t="inlineStr">
        <is>
          <t>4K</t>
        </is>
      </c>
      <c r="D28" s="3" t="n">
        <v>2</v>
      </c>
      <c r="E28" s="4" t="n">
        <v>3072</v>
      </c>
      <c r="F28" s="4" t="n">
        <v>237</v>
      </c>
      <c r="G28" s="4" t="n">
        <v>16.531</v>
      </c>
      <c r="H28" s="4" t="n">
        <v>17.09</v>
      </c>
      <c r="I28" s="4" t="n">
        <v>58.51</v>
      </c>
      <c r="J28" s="4" t="n">
        <v>20.582</v>
      </c>
      <c r="K28" s="4" t="n">
        <v>58</v>
      </c>
      <c r="L28" s="4" t="n">
        <v>681</v>
      </c>
      <c r="M28" s="3" t="inlineStr">
        <is>
          <t>✓</t>
        </is>
      </c>
      <c r="N28" s="3" t="inlineStr"/>
    </row>
    <row r="29">
      <c r="A29" s="5" t="inlineStr">
        <is>
          <t>麦谷上游</t>
        </is>
      </c>
      <c r="B29" s="3" t="inlineStr">
        <is>
          <t>glm-5.1</t>
        </is>
      </c>
      <c r="C29" s="3" t="inlineStr">
        <is>
          <t>4K</t>
        </is>
      </c>
      <c r="D29" s="3" t="n">
        <v>3</v>
      </c>
      <c r="E29" s="4" t="n">
        <v>3072</v>
      </c>
      <c r="F29" s="4" t="n">
        <v>174</v>
      </c>
      <c r="G29" s="4" t="n">
        <v>12.729</v>
      </c>
      <c r="H29" s="4" t="n">
        <v>12.18</v>
      </c>
      <c r="I29" s="4" t="n">
        <v>82.12</v>
      </c>
      <c r="J29" s="4" t="n">
        <v>14.848</v>
      </c>
      <c r="K29" s="4" t="n">
        <v>51</v>
      </c>
      <c r="L29" s="4" t="n">
        <v>705</v>
      </c>
      <c r="M29" s="3" t="inlineStr">
        <is>
          <t>✓</t>
        </is>
      </c>
      <c r="N29" s="3" t="inlineStr"/>
    </row>
    <row r="30">
      <c r="A30" s="5" t="inlineStr">
        <is>
          <t>麦谷上游</t>
        </is>
      </c>
      <c r="B30" s="3" t="inlineStr">
        <is>
          <t>glm-5.1</t>
        </is>
      </c>
      <c r="C30" s="3" t="inlineStr">
        <is>
          <t>64K</t>
        </is>
      </c>
      <c r="D30" s="3" t="n">
        <v>1</v>
      </c>
      <c r="E30" s="4" t="n">
        <v>62000</v>
      </c>
      <c r="F30" s="4" t="n">
        <v>167</v>
      </c>
      <c r="G30" s="4" t="n">
        <v>7.353</v>
      </c>
      <c r="H30" s="4" t="n">
        <v>26.85</v>
      </c>
      <c r="I30" s="4" t="n">
        <v>37.24</v>
      </c>
      <c r="J30" s="4" t="n">
        <v>11.837</v>
      </c>
      <c r="K30" s="4" t="n">
        <v>51</v>
      </c>
      <c r="L30" s="4" t="n">
        <v>0</v>
      </c>
      <c r="M30" s="3" t="inlineStr">
        <is>
          <t>✓</t>
        </is>
      </c>
      <c r="N30" s="3" t="inlineStr"/>
    </row>
    <row r="31">
      <c r="A31" s="5" t="inlineStr">
        <is>
          <t>麦谷上游</t>
        </is>
      </c>
      <c r="B31" s="3" t="inlineStr">
        <is>
          <t>glm-5.1</t>
        </is>
      </c>
      <c r="C31" s="3" t="inlineStr">
        <is>
          <t>64K</t>
        </is>
      </c>
      <c r="D31" s="3" t="n">
        <v>2</v>
      </c>
      <c r="E31" s="4" t="n">
        <v>62000</v>
      </c>
      <c r="F31" s="4" t="n">
        <v>248</v>
      </c>
      <c r="G31" s="4" t="n">
        <v>20.069</v>
      </c>
      <c r="H31" s="4" t="n">
        <v>14.36</v>
      </c>
      <c r="I31" s="4" t="n">
        <v>69.65000000000001</v>
      </c>
      <c r="J31" s="4" t="n">
        <v>23.63</v>
      </c>
      <c r="K31" s="4" t="n">
        <v>51</v>
      </c>
      <c r="L31" s="4" t="n">
        <v>848</v>
      </c>
      <c r="M31" s="3" t="inlineStr">
        <is>
          <t>✓</t>
        </is>
      </c>
      <c r="N31" s="3" t="inlineStr"/>
    </row>
    <row r="32">
      <c r="A32" s="5" t="inlineStr">
        <is>
          <t>麦谷上游</t>
        </is>
      </c>
      <c r="B32" s="3" t="inlineStr">
        <is>
          <t>glm-5.2</t>
        </is>
      </c>
      <c r="C32" s="3" t="inlineStr">
        <is>
          <t>128K</t>
        </is>
      </c>
      <c r="D32" s="3" t="n">
        <v>1</v>
      </c>
      <c r="E32" s="4" t="n">
        <v>126000</v>
      </c>
      <c r="F32" s="4" t="n">
        <v>199</v>
      </c>
      <c r="G32" s="4" t="n">
        <v>23.111</v>
      </c>
      <c r="H32" s="4" t="n">
        <v>19.04</v>
      </c>
      <c r="I32" s="4" t="n">
        <v>52.53</v>
      </c>
      <c r="J32" s="4" t="n">
        <v>27.606</v>
      </c>
      <c r="K32" s="4" t="n">
        <v>51</v>
      </c>
      <c r="L32" s="4" t="n">
        <v>538</v>
      </c>
      <c r="M32" s="3" t="inlineStr">
        <is>
          <t>✓</t>
        </is>
      </c>
      <c r="N32" s="3" t="inlineStr"/>
    </row>
    <row r="33">
      <c r="A33" s="5" t="inlineStr">
        <is>
          <t>麦谷上游</t>
        </is>
      </c>
      <c r="B33" s="3" t="inlineStr">
        <is>
          <t>glm-5.2</t>
        </is>
      </c>
      <c r="C33" s="3" t="inlineStr">
        <is>
          <t>128K</t>
        </is>
      </c>
      <c r="D33" s="3" t="n">
        <v>2</v>
      </c>
      <c r="E33" s="4" t="n">
        <v>126000</v>
      </c>
      <c r="F33" s="4" t="n">
        <v>201</v>
      </c>
      <c r="G33" s="4" t="n">
        <v>18.923</v>
      </c>
      <c r="H33" s="4" t="n">
        <v>13.85</v>
      </c>
      <c r="I33" s="4" t="n">
        <v>72.19</v>
      </c>
      <c r="J33" s="4" t="n">
        <v>21.708</v>
      </c>
      <c r="K33" s="4" t="n">
        <v>51</v>
      </c>
      <c r="L33" s="4" t="n">
        <v>496</v>
      </c>
      <c r="M33" s="3" t="inlineStr">
        <is>
          <t>✓</t>
        </is>
      </c>
      <c r="N33" s="3" t="inlineStr"/>
    </row>
    <row r="34">
      <c r="A34" s="5" t="inlineStr">
        <is>
          <t>麦谷上游</t>
        </is>
      </c>
      <c r="B34" s="3" t="inlineStr">
        <is>
          <t>glm-5.2</t>
        </is>
      </c>
      <c r="C34" s="3" t="inlineStr">
        <is>
          <t>16K</t>
        </is>
      </c>
      <c r="D34" s="3" t="n">
        <v>1</v>
      </c>
      <c r="E34" s="4" t="n">
        <v>14000</v>
      </c>
      <c r="F34" s="4" t="n">
        <v>213</v>
      </c>
      <c r="G34" s="4" t="n">
        <v>23.368</v>
      </c>
      <c r="H34" s="4" t="n">
        <v>13.64</v>
      </c>
      <c r="I34" s="4" t="n">
        <v>73.31</v>
      </c>
      <c r="J34" s="4" t="n">
        <v>26.274</v>
      </c>
      <c r="K34" s="4" t="n">
        <v>51</v>
      </c>
      <c r="L34" s="4" t="n">
        <v>934</v>
      </c>
      <c r="M34" s="3" t="inlineStr">
        <is>
          <t>✓</t>
        </is>
      </c>
      <c r="N34" s="3" t="inlineStr"/>
    </row>
    <row r="35">
      <c r="A35" s="5" t="inlineStr">
        <is>
          <t>麦谷上游</t>
        </is>
      </c>
      <c r="B35" s="3" t="inlineStr">
        <is>
          <t>glm-5.2</t>
        </is>
      </c>
      <c r="C35" s="3" t="inlineStr">
        <is>
          <t>16K</t>
        </is>
      </c>
      <c r="D35" s="3" t="n">
        <v>2</v>
      </c>
      <c r="E35" s="4" t="n">
        <v>14000</v>
      </c>
      <c r="F35" s="4" t="n">
        <v>194</v>
      </c>
      <c r="G35" s="4" t="n">
        <v>25.841</v>
      </c>
      <c r="H35" s="4" t="n">
        <v>7.71</v>
      </c>
      <c r="I35" s="4" t="n">
        <v>129.65</v>
      </c>
      <c r="J35" s="4" t="n">
        <v>27.337</v>
      </c>
      <c r="K35" s="4" t="n">
        <v>51</v>
      </c>
      <c r="L35" s="4" t="n">
        <v>1746</v>
      </c>
      <c r="M35" s="3" t="inlineStr">
        <is>
          <t>✓</t>
        </is>
      </c>
      <c r="N35" s="3" t="inlineStr"/>
    </row>
    <row r="36">
      <c r="A36" s="5" t="inlineStr">
        <is>
          <t>麦谷上游</t>
        </is>
      </c>
      <c r="B36" s="3" t="inlineStr">
        <is>
          <t>glm-5.2</t>
        </is>
      </c>
      <c r="C36" s="3" t="inlineStr">
        <is>
          <t>16K</t>
        </is>
      </c>
      <c r="D36" s="3" t="n">
        <v>3</v>
      </c>
      <c r="E36" s="4" t="n">
        <v>14000</v>
      </c>
      <c r="F36" s="4" t="n">
        <v>231</v>
      </c>
      <c r="G36" s="4" t="n">
        <v>24.939</v>
      </c>
      <c r="H36" s="4" t="n">
        <v>13.78</v>
      </c>
      <c r="I36" s="4" t="n">
        <v>72.59</v>
      </c>
      <c r="J36" s="4" t="n">
        <v>28.121</v>
      </c>
      <c r="K36" s="4" t="n">
        <v>58</v>
      </c>
      <c r="L36" s="4" t="n">
        <v>1298</v>
      </c>
      <c r="M36" s="3" t="inlineStr">
        <is>
          <t>✓</t>
        </is>
      </c>
      <c r="N36" s="3" t="inlineStr"/>
    </row>
    <row r="37">
      <c r="A37" s="5" t="inlineStr">
        <is>
          <t>麦谷上游</t>
        </is>
      </c>
      <c r="B37" s="3" t="inlineStr">
        <is>
          <t>glm-5.2</t>
        </is>
      </c>
      <c r="C37" s="3" t="inlineStr">
        <is>
          <t>4K</t>
        </is>
      </c>
      <c r="D37" s="3" t="n">
        <v>1</v>
      </c>
      <c r="E37" s="4" t="n">
        <v>3072</v>
      </c>
      <c r="F37" s="4" t="n">
        <v>215</v>
      </c>
      <c r="G37" s="4" t="n">
        <v>17.399</v>
      </c>
      <c r="H37" s="4" t="n">
        <v>13.18</v>
      </c>
      <c r="I37" s="4" t="n">
        <v>75.89</v>
      </c>
      <c r="J37" s="4" t="n">
        <v>20.233</v>
      </c>
      <c r="K37" s="4" t="n">
        <v>51</v>
      </c>
      <c r="L37" s="4" t="n">
        <v>724</v>
      </c>
      <c r="M37" s="3" t="inlineStr">
        <is>
          <t>✓</t>
        </is>
      </c>
      <c r="N37" s="3" t="inlineStr"/>
    </row>
    <row r="38">
      <c r="A38" s="5" t="inlineStr">
        <is>
          <t>麦谷上游</t>
        </is>
      </c>
      <c r="B38" s="3" t="inlineStr">
        <is>
          <t>glm-5.2</t>
        </is>
      </c>
      <c r="C38" s="3" t="inlineStr">
        <is>
          <t>4K</t>
        </is>
      </c>
      <c r="D38" s="3" t="n">
        <v>2</v>
      </c>
      <c r="E38" s="4" t="n">
        <v>3072</v>
      </c>
      <c r="F38" s="4" t="n">
        <v>229</v>
      </c>
      <c r="G38" s="4" t="n">
        <v>13.209</v>
      </c>
      <c r="H38" s="4" t="n">
        <v>11.6</v>
      </c>
      <c r="I38" s="4" t="n">
        <v>86.18000000000001</v>
      </c>
      <c r="J38" s="4" t="n">
        <v>15.867</v>
      </c>
      <c r="K38" s="4" t="n">
        <v>58</v>
      </c>
      <c r="L38" s="4" t="n">
        <v>589</v>
      </c>
      <c r="M38" s="3" t="inlineStr">
        <is>
          <t>✓</t>
        </is>
      </c>
      <c r="N38" s="3" t="inlineStr"/>
    </row>
    <row r="39">
      <c r="A39" s="5" t="inlineStr">
        <is>
          <t>麦谷上游</t>
        </is>
      </c>
      <c r="B39" s="3" t="inlineStr">
        <is>
          <t>glm-5.2</t>
        </is>
      </c>
      <c r="C39" s="3" t="inlineStr">
        <is>
          <t>4K</t>
        </is>
      </c>
      <c r="D39" s="3" t="n">
        <v>3</v>
      </c>
      <c r="E39" s="4" t="n">
        <v>3072</v>
      </c>
      <c r="F39" s="4" t="n">
        <v>253</v>
      </c>
      <c r="G39" s="4" t="n">
        <v>12.116</v>
      </c>
      <c r="H39" s="4" t="n">
        <v>15.04</v>
      </c>
      <c r="I39" s="4" t="n">
        <v>66.47</v>
      </c>
      <c r="J39" s="4" t="n">
        <v>16.591</v>
      </c>
      <c r="K39" s="4" t="n">
        <v>58</v>
      </c>
      <c r="L39" s="4" t="n">
        <v>671</v>
      </c>
      <c r="M39" s="3" t="inlineStr">
        <is>
          <t>✓</t>
        </is>
      </c>
      <c r="N39" s="3" t="inlineStr"/>
    </row>
    <row r="40">
      <c r="A40" s="5" t="inlineStr">
        <is>
          <t>麦谷上游</t>
        </is>
      </c>
      <c r="B40" s="3" t="inlineStr">
        <is>
          <t>glm-5.2</t>
        </is>
      </c>
      <c r="C40" s="3" t="inlineStr">
        <is>
          <t>64K</t>
        </is>
      </c>
      <c r="D40" s="3" t="n">
        <v>1</v>
      </c>
      <c r="E40" s="4" t="n">
        <v>62000</v>
      </c>
      <c r="F40" s="4" t="n">
        <v>209</v>
      </c>
      <c r="G40" s="4" t="n">
        <v>19.422</v>
      </c>
      <c r="H40" s="4" t="n">
        <v>11.42</v>
      </c>
      <c r="I40" s="4" t="n">
        <v>87.53</v>
      </c>
      <c r="J40" s="4" t="n">
        <v>21.809</v>
      </c>
      <c r="K40" s="4" t="n">
        <v>58</v>
      </c>
      <c r="L40" s="4" t="n">
        <v>913</v>
      </c>
      <c r="M40" s="3" t="inlineStr">
        <is>
          <t>✓</t>
        </is>
      </c>
      <c r="N40" s="3" t="inlineStr"/>
    </row>
    <row r="41">
      <c r="A41" s="5" t="inlineStr">
        <is>
          <t>麦谷上游</t>
        </is>
      </c>
      <c r="B41" s="3" t="inlineStr">
        <is>
          <t>glm-5.2</t>
        </is>
      </c>
      <c r="C41" s="3" t="inlineStr">
        <is>
          <t>64K</t>
        </is>
      </c>
      <c r="D41" s="3" t="n">
        <v>2</v>
      </c>
      <c r="E41" s="4" t="n">
        <v>62000</v>
      </c>
      <c r="F41" s="4" t="n">
        <v>215</v>
      </c>
      <c r="G41" s="4" t="n">
        <v>22.142</v>
      </c>
      <c r="H41" s="4" t="n">
        <v>3.91</v>
      </c>
      <c r="I41" s="4" t="n">
        <v>255.85</v>
      </c>
      <c r="J41" s="4" t="n">
        <v>22.983</v>
      </c>
      <c r="K41" s="4" t="n">
        <v>51</v>
      </c>
      <c r="L41" s="4" t="n">
        <v>809</v>
      </c>
      <c r="M41" s="3" t="inlineStr">
        <is>
          <t>✓</t>
        </is>
      </c>
      <c r="N41" s="3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2026-08-24T06:13:40Z</dcterms:created>
  <dcterms:modified xmlns:dcterms="http://purl.org/dc/terms/" xmlns:xsi="http://www.w3.org/2001/XMLSchema-instance" xsi:type="dcterms:W3CDTF">2026-08-24T06:13:40Z</dcterms:modified>
</cp:coreProperties>
</file>