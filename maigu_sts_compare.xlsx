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汇总" sheetId="1" state="visible" r:id="rId1"/>
    <sheet xmlns:r="http://schemas.openxmlformats.org/officeDocument/2006/relationships" name="中转vs上游" sheetId="2" state="visible" r:id="rId2"/>
    <sheet xmlns:r="http://schemas.openxmlformats.org/officeDocument/2006/relationships" name="明细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端点</t>
        </is>
      </c>
      <c r="B1" s="1" t="inlineStr">
        <is>
          <t>模型</t>
        </is>
      </c>
      <c r="C1" s="1" t="inlineStr">
        <is>
          <t>上下文</t>
        </is>
      </c>
      <c r="D1" s="1" t="inlineStr">
        <is>
          <t>样本数</t>
        </is>
      </c>
      <c r="E1" s="1" t="inlineStr">
        <is>
          <t>输入Tokens</t>
        </is>
      </c>
      <c r="F1" s="1" t="inlineStr">
        <is>
          <t>输出Tokens(avg)</t>
        </is>
      </c>
      <c r="G1" s="1" t="inlineStr">
        <is>
          <t>TTFT(avg/s)</t>
        </is>
      </c>
      <c r="H1" s="1" t="inlineStr">
        <is>
          <t>TTFT(min)</t>
        </is>
      </c>
      <c r="I1" s="1" t="inlineStr">
        <is>
          <t>TTFT(max)</t>
        </is>
      </c>
      <c r="J1" s="1" t="inlineStr">
        <is>
          <t>TTFT(std)</t>
        </is>
      </c>
      <c r="K1" s="1" t="inlineStr">
        <is>
          <t>TPOT(avg/ms)</t>
        </is>
      </c>
      <c r="L1" s="1" t="inlineStr">
        <is>
          <t>TPOT(min)</t>
        </is>
      </c>
      <c r="M1" s="1" t="inlineStr">
        <is>
          <t>TPOT(max)</t>
        </is>
      </c>
      <c r="N1" s="1" t="inlineStr">
        <is>
          <t>TPOT(std)</t>
        </is>
      </c>
      <c r="O1" s="1" t="inlineStr">
        <is>
          <t>TPS(avg)</t>
        </is>
      </c>
      <c r="P1" s="1" t="inlineStr">
        <is>
          <t>TPS(min)</t>
        </is>
      </c>
      <c r="Q1" s="1" t="inlineStr">
        <is>
          <t>TPS(max)</t>
        </is>
      </c>
      <c r="R1" s="1" t="inlineStr">
        <is>
          <t>总耗时(avg/s)</t>
        </is>
      </c>
      <c r="S1" s="1" t="inlineStr">
        <is>
          <t>任务评分(avg)</t>
        </is>
      </c>
      <c r="T1" s="1" t="inlineStr">
        <is>
          <t>成功率(%)</t>
        </is>
      </c>
    </row>
    <row r="2">
      <c r="A2" s="2" t="inlineStr">
        <is>
          <t>STS中转</t>
        </is>
      </c>
      <c r="B2" s="3" t="inlineStr">
        <is>
          <t>glm-5.1</t>
        </is>
      </c>
      <c r="C2" s="3" t="inlineStr">
        <is>
          <t>128K</t>
        </is>
      </c>
      <c r="D2" s="3" t="n">
        <v>2</v>
      </c>
      <c r="E2" s="4" t="n">
        <v>126000</v>
      </c>
      <c r="F2" s="4" t="n">
        <v>172.5</v>
      </c>
      <c r="G2" s="4" t="n">
        <v>17.736</v>
      </c>
      <c r="H2" s="4" t="n">
        <v>15.71</v>
      </c>
      <c r="I2" s="4" t="n">
        <v>19.763</v>
      </c>
      <c r="J2" s="4" t="n">
        <v>2.866</v>
      </c>
      <c r="K2" s="4" t="n">
        <v>18.73</v>
      </c>
      <c r="L2" s="4" t="n">
        <v>14.6</v>
      </c>
      <c r="M2" s="4" t="n">
        <v>22.87</v>
      </c>
      <c r="N2" s="4" t="n">
        <v>5.85</v>
      </c>
      <c r="O2" s="4" t="n">
        <v>56.11</v>
      </c>
      <c r="P2" s="4" t="n">
        <v>43.73</v>
      </c>
      <c r="Q2" s="4" t="n">
        <v>68.48</v>
      </c>
      <c r="R2" s="4" t="n">
        <v>21.004</v>
      </c>
      <c r="S2" s="4" t="n">
        <v>51</v>
      </c>
      <c r="T2" s="4" t="n">
        <v>100</v>
      </c>
    </row>
    <row r="3">
      <c r="A3" s="2" t="inlineStr">
        <is>
          <t>STS中转</t>
        </is>
      </c>
      <c r="B3" s="3" t="inlineStr">
        <is>
          <t>glm-5.1</t>
        </is>
      </c>
      <c r="C3" s="3" t="inlineStr">
        <is>
          <t>16K</t>
        </is>
      </c>
      <c r="D3" s="3" t="n">
        <v>3</v>
      </c>
      <c r="E3" s="4" t="n">
        <v>14000</v>
      </c>
      <c r="F3" s="4" t="n">
        <v>232.7</v>
      </c>
      <c r="G3" s="4" t="n">
        <v>16.808</v>
      </c>
      <c r="H3" s="4" t="n">
        <v>13.194</v>
      </c>
      <c r="I3" s="4" t="n">
        <v>23.229</v>
      </c>
      <c r="J3" s="4" t="n">
        <v>5.575</v>
      </c>
      <c r="K3" s="4" t="n">
        <v>10.35</v>
      </c>
      <c r="L3" s="4" t="n">
        <v>9.640000000000001</v>
      </c>
      <c r="M3" s="4" t="n">
        <v>11.52</v>
      </c>
      <c r="N3" s="4" t="n">
        <v>1.02</v>
      </c>
      <c r="O3" s="4" t="n">
        <v>97.23</v>
      </c>
      <c r="P3" s="4" t="n">
        <v>86.83</v>
      </c>
      <c r="Q3" s="4" t="n">
        <v>103.72</v>
      </c>
      <c r="R3" s="4" t="n">
        <v>19.254</v>
      </c>
      <c r="S3" s="4" t="n">
        <v>55.7</v>
      </c>
      <c r="T3" s="4" t="n">
        <v>100</v>
      </c>
    </row>
    <row r="4">
      <c r="A4" s="2" t="inlineStr">
        <is>
          <t>STS中转</t>
        </is>
      </c>
      <c r="B4" s="3" t="inlineStr">
        <is>
          <t>glm-5.1</t>
        </is>
      </c>
      <c r="C4" s="3" t="inlineStr">
        <is>
          <t>4K</t>
        </is>
      </c>
      <c r="D4" s="3" t="n">
        <v>3</v>
      </c>
      <c r="E4" s="4" t="n">
        <v>3072</v>
      </c>
      <c r="F4" s="4" t="n">
        <v>241.7</v>
      </c>
      <c r="G4" s="4" t="n">
        <v>10.313</v>
      </c>
      <c r="H4" s="4" t="n">
        <v>8.967000000000001</v>
      </c>
      <c r="I4" s="4" t="n">
        <v>12.477</v>
      </c>
      <c r="J4" s="4" t="n">
        <v>1.893</v>
      </c>
      <c r="K4" s="4" t="n">
        <v>13.13</v>
      </c>
      <c r="L4" s="4" t="n">
        <v>8.65</v>
      </c>
      <c r="M4" s="4" t="n">
        <v>18.29</v>
      </c>
      <c r="N4" s="4" t="n">
        <v>4.86</v>
      </c>
      <c r="O4" s="4" t="n">
        <v>83.53</v>
      </c>
      <c r="P4" s="4" t="n">
        <v>54.67</v>
      </c>
      <c r="Q4" s="4" t="n">
        <v>115.62</v>
      </c>
      <c r="R4" s="4" t="n">
        <v>13.536</v>
      </c>
      <c r="S4" s="4" t="n">
        <v>58</v>
      </c>
      <c r="T4" s="4" t="n">
        <v>100</v>
      </c>
    </row>
    <row r="5">
      <c r="A5" s="2" t="inlineStr">
        <is>
          <t>STS中转</t>
        </is>
      </c>
      <c r="B5" s="3" t="inlineStr">
        <is>
          <t>glm-5.1</t>
        </is>
      </c>
      <c r="C5" s="3" t="inlineStr">
        <is>
          <t>64K</t>
        </is>
      </c>
      <c r="D5" s="3" t="n">
        <v>2</v>
      </c>
      <c r="E5" s="4" t="n">
        <v>62000</v>
      </c>
      <c r="F5" s="4" t="n">
        <v>214</v>
      </c>
      <c r="G5" s="4" t="n">
        <v>21.17</v>
      </c>
      <c r="H5" s="4" t="n">
        <v>16.644</v>
      </c>
      <c r="I5" s="4" t="n">
        <v>25.697</v>
      </c>
      <c r="J5" s="4" t="n">
        <v>6.401</v>
      </c>
      <c r="K5" s="4" t="n">
        <v>11.75</v>
      </c>
      <c r="L5" s="4" t="n">
        <v>10.78</v>
      </c>
      <c r="M5" s="4" t="n">
        <v>12.73</v>
      </c>
      <c r="N5" s="4" t="n">
        <v>1.38</v>
      </c>
      <c r="O5" s="4" t="n">
        <v>85.64</v>
      </c>
      <c r="P5" s="4" t="n">
        <v>78.55</v>
      </c>
      <c r="Q5" s="4" t="n">
        <v>92.73</v>
      </c>
      <c r="R5" s="4" t="n">
        <v>23.709</v>
      </c>
      <c r="S5" s="4" t="n">
        <v>51</v>
      </c>
      <c r="T5" s="4" t="n">
        <v>100</v>
      </c>
    </row>
    <row r="6">
      <c r="A6" s="2" t="inlineStr">
        <is>
          <t>STS中转</t>
        </is>
      </c>
      <c r="B6" s="3" t="inlineStr">
        <is>
          <t>glm-5.2</t>
        </is>
      </c>
      <c r="C6" s="3" t="inlineStr">
        <is>
          <t>128K</t>
        </is>
      </c>
      <c r="D6" s="3" t="n">
        <v>2</v>
      </c>
      <c r="E6" s="4" t="n">
        <v>126000</v>
      </c>
      <c r="F6" s="4" t="n">
        <v>195.5</v>
      </c>
      <c r="G6" s="4" t="n">
        <v>15.55</v>
      </c>
      <c r="H6" s="4" t="n">
        <v>13.34</v>
      </c>
      <c r="I6" s="4" t="n">
        <v>17.76</v>
      </c>
      <c r="J6" s="4" t="n">
        <v>3.125</v>
      </c>
      <c r="K6" s="4" t="n">
        <v>13.24</v>
      </c>
      <c r="L6" s="4" t="n">
        <v>12.56</v>
      </c>
      <c r="M6" s="4" t="n">
        <v>13.92</v>
      </c>
      <c r="N6" s="4" t="n">
        <v>0.96</v>
      </c>
      <c r="O6" s="4" t="n">
        <v>75.72</v>
      </c>
      <c r="P6" s="4" t="n">
        <v>71.84</v>
      </c>
      <c r="Q6" s="4" t="n">
        <v>79.61</v>
      </c>
      <c r="R6" s="4" t="n">
        <v>18.175</v>
      </c>
      <c r="S6" s="4" t="n">
        <v>51</v>
      </c>
      <c r="T6" s="4" t="n">
        <v>100</v>
      </c>
    </row>
    <row r="7">
      <c r="A7" s="2" t="inlineStr">
        <is>
          <t>STS中转</t>
        </is>
      </c>
      <c r="B7" s="3" t="inlineStr">
        <is>
          <t>glm-5.2</t>
        </is>
      </c>
      <c r="C7" s="3" t="inlineStr">
        <is>
          <t>16K</t>
        </is>
      </c>
      <c r="D7" s="3" t="n">
        <v>3</v>
      </c>
      <c r="E7" s="4" t="n">
        <v>14000</v>
      </c>
      <c r="F7" s="4" t="n">
        <v>197.3</v>
      </c>
      <c r="G7" s="4" t="n">
        <v>12.652</v>
      </c>
      <c r="H7" s="4" t="n">
        <v>9.867000000000001</v>
      </c>
      <c r="I7" s="4" t="n">
        <v>14.566</v>
      </c>
      <c r="J7" s="4" t="n">
        <v>2.467</v>
      </c>
      <c r="K7" s="4" t="n">
        <v>10.03</v>
      </c>
      <c r="L7" s="4" t="n">
        <v>7.81</v>
      </c>
      <c r="M7" s="4" t="n">
        <v>12.56</v>
      </c>
      <c r="N7" s="4" t="n">
        <v>2.39</v>
      </c>
      <c r="O7" s="4" t="n">
        <v>103.53</v>
      </c>
      <c r="P7" s="4" t="n">
        <v>79.65000000000001</v>
      </c>
      <c r="Q7" s="4" t="n">
        <v>128.01</v>
      </c>
      <c r="R7" s="4" t="n">
        <v>14.66</v>
      </c>
      <c r="S7" s="4" t="n">
        <v>53.3</v>
      </c>
      <c r="T7" s="4" t="n">
        <v>100</v>
      </c>
    </row>
    <row r="8">
      <c r="A8" s="2" t="inlineStr">
        <is>
          <t>STS中转</t>
        </is>
      </c>
      <c r="B8" s="3" t="inlineStr">
        <is>
          <t>glm-5.2</t>
        </is>
      </c>
      <c r="C8" s="3" t="inlineStr">
        <is>
          <t>4K</t>
        </is>
      </c>
      <c r="D8" s="3" t="n">
        <v>3</v>
      </c>
      <c r="E8" s="4" t="n">
        <v>3072</v>
      </c>
      <c r="F8" s="4" t="n">
        <v>227.3</v>
      </c>
      <c r="G8" s="4" t="n">
        <v>12.893</v>
      </c>
      <c r="H8" s="4" t="n">
        <v>11.582</v>
      </c>
      <c r="I8" s="4" t="n">
        <v>13.822</v>
      </c>
      <c r="J8" s="4" t="n">
        <v>1.168</v>
      </c>
      <c r="K8" s="4" t="n">
        <v>12.18</v>
      </c>
      <c r="L8" s="4" t="n">
        <v>11.62</v>
      </c>
      <c r="M8" s="4" t="n">
        <v>12.58</v>
      </c>
      <c r="N8" s="4" t="n">
        <v>0.5</v>
      </c>
      <c r="O8" s="4" t="n">
        <v>82.20999999999999</v>
      </c>
      <c r="P8" s="4" t="n">
        <v>79.51000000000001</v>
      </c>
      <c r="Q8" s="4" t="n">
        <v>86.03</v>
      </c>
      <c r="R8" s="4" t="n">
        <v>15.693</v>
      </c>
      <c r="S8" s="4" t="n">
        <v>55.7</v>
      </c>
      <c r="T8" s="4" t="n">
        <v>100</v>
      </c>
    </row>
    <row r="9">
      <c r="A9" s="2" t="inlineStr">
        <is>
          <t>STS中转</t>
        </is>
      </c>
      <c r="B9" s="3" t="inlineStr">
        <is>
          <t>glm-5.2</t>
        </is>
      </c>
      <c r="C9" s="3" t="inlineStr">
        <is>
          <t>64K</t>
        </is>
      </c>
      <c r="D9" s="3" t="n">
        <v>2</v>
      </c>
      <c r="E9" s="4" t="n">
        <v>62000</v>
      </c>
      <c r="F9" s="4" t="n">
        <v>187.5</v>
      </c>
      <c r="G9" s="4" t="n">
        <v>14.266</v>
      </c>
      <c r="H9" s="4" t="n">
        <v>13.609</v>
      </c>
      <c r="I9" s="4" t="n">
        <v>14.923</v>
      </c>
      <c r="J9" s="4" t="n">
        <v>0.929</v>
      </c>
      <c r="K9" s="4" t="n">
        <v>12.73</v>
      </c>
      <c r="L9" s="4" t="n">
        <v>11.33</v>
      </c>
      <c r="M9" s="4" t="n">
        <v>14.13</v>
      </c>
      <c r="N9" s="4" t="n">
        <v>1.98</v>
      </c>
      <c r="O9" s="4" t="n">
        <v>79.53</v>
      </c>
      <c r="P9" s="4" t="n">
        <v>70.78</v>
      </c>
      <c r="Q9" s="4" t="n">
        <v>88.29000000000001</v>
      </c>
      <c r="R9" s="4" t="n">
        <v>16.64</v>
      </c>
      <c r="S9" s="4" t="n">
        <v>54.5</v>
      </c>
      <c r="T9" s="4" t="n">
        <v>100</v>
      </c>
    </row>
    <row r="10">
      <c r="A10" s="5" t="inlineStr">
        <is>
          <t>麦谷上游</t>
        </is>
      </c>
      <c r="B10" s="3" t="inlineStr">
        <is>
          <t>glm-5.1</t>
        </is>
      </c>
      <c r="C10" s="3" t="inlineStr">
        <is>
          <t>128K</t>
        </is>
      </c>
      <c r="D10" s="3" t="n">
        <v>2</v>
      </c>
      <c r="E10" s="4" t="n">
        <v>126000</v>
      </c>
      <c r="F10" s="4" t="n">
        <v>249</v>
      </c>
      <c r="G10" s="4" t="n">
        <v>28.287</v>
      </c>
      <c r="H10" s="4" t="n">
        <v>26.741</v>
      </c>
      <c r="I10" s="4" t="n">
        <v>29.832</v>
      </c>
      <c r="J10" s="4" t="n">
        <v>2.186</v>
      </c>
      <c r="K10" s="4" t="n">
        <v>13.14</v>
      </c>
      <c r="L10" s="4" t="n">
        <v>11.98</v>
      </c>
      <c r="M10" s="4" t="n">
        <v>14.3</v>
      </c>
      <c r="N10" s="4" t="n">
        <v>1.64</v>
      </c>
      <c r="O10" s="4" t="n">
        <v>76.69</v>
      </c>
      <c r="P10" s="4" t="n">
        <v>69.91</v>
      </c>
      <c r="Q10" s="4" t="n">
        <v>83.48</v>
      </c>
      <c r="R10" s="4" t="n">
        <v>31.504</v>
      </c>
      <c r="S10" s="4" t="n">
        <v>54.5</v>
      </c>
      <c r="T10" s="4" t="n">
        <v>100</v>
      </c>
    </row>
    <row r="11">
      <c r="A11" s="5" t="inlineStr">
        <is>
          <t>麦谷上游</t>
        </is>
      </c>
      <c r="B11" s="3" t="inlineStr">
        <is>
          <t>glm-5.1</t>
        </is>
      </c>
      <c r="C11" s="3" t="inlineStr">
        <is>
          <t>16K</t>
        </is>
      </c>
      <c r="D11" s="3" t="n">
        <v>3</v>
      </c>
      <c r="E11" s="4" t="n">
        <v>14000</v>
      </c>
      <c r="F11" s="4" t="n">
        <v>194.7</v>
      </c>
      <c r="G11" s="4" t="n">
        <v>16.125</v>
      </c>
      <c r="H11" s="4" t="n">
        <v>13.073</v>
      </c>
      <c r="I11" s="4" t="n">
        <v>20.424</v>
      </c>
      <c r="J11" s="4" t="n">
        <v>3.831</v>
      </c>
      <c r="K11" s="4" t="n">
        <v>14.61</v>
      </c>
      <c r="L11" s="4" t="n">
        <v>13.39</v>
      </c>
      <c r="M11" s="4" t="n">
        <v>16.57</v>
      </c>
      <c r="N11" s="4" t="n">
        <v>1.71</v>
      </c>
      <c r="O11" s="4" t="n">
        <v>69.03</v>
      </c>
      <c r="P11" s="4" t="n">
        <v>60.34</v>
      </c>
      <c r="Q11" s="4" t="n">
        <v>74.7</v>
      </c>
      <c r="R11" s="4" t="n">
        <v>18.976</v>
      </c>
      <c r="S11" s="4" t="n">
        <v>51</v>
      </c>
      <c r="T11" s="4" t="n">
        <v>100</v>
      </c>
    </row>
    <row r="12">
      <c r="A12" s="5" t="inlineStr">
        <is>
          <t>麦谷上游</t>
        </is>
      </c>
      <c r="B12" s="3" t="inlineStr">
        <is>
          <t>glm-5.1</t>
        </is>
      </c>
      <c r="C12" s="3" t="inlineStr">
        <is>
          <t>4K</t>
        </is>
      </c>
      <c r="D12" s="3" t="n">
        <v>3</v>
      </c>
      <c r="E12" s="4" t="n">
        <v>3072</v>
      </c>
      <c r="F12" s="4" t="n">
        <v>175.7</v>
      </c>
      <c r="G12" s="4" t="n">
        <v>25.843</v>
      </c>
      <c r="H12" s="4" t="n">
        <v>19.746</v>
      </c>
      <c r="I12" s="4" t="n">
        <v>37.466</v>
      </c>
      <c r="J12" s="4" t="n">
        <v>10.07</v>
      </c>
      <c r="K12" s="4" t="n">
        <v>22.14</v>
      </c>
      <c r="L12" s="4" t="n">
        <v>14.43</v>
      </c>
      <c r="M12" s="4" t="n">
        <v>26.47</v>
      </c>
      <c r="N12" s="4" t="n">
        <v>6.69</v>
      </c>
      <c r="O12" s="4" t="n">
        <v>48.76</v>
      </c>
      <c r="P12" s="4" t="n">
        <v>37.78</v>
      </c>
      <c r="Q12" s="4" t="n">
        <v>69.29000000000001</v>
      </c>
      <c r="R12" s="4" t="n">
        <v>29.354</v>
      </c>
      <c r="S12" s="4" t="n">
        <v>53.3</v>
      </c>
      <c r="T12" s="4" t="n">
        <v>100</v>
      </c>
    </row>
    <row r="13">
      <c r="A13" s="5" t="inlineStr">
        <is>
          <t>麦谷上游</t>
        </is>
      </c>
      <c r="B13" s="3" t="inlineStr">
        <is>
          <t>glm-5.1</t>
        </is>
      </c>
      <c r="C13" s="3" t="inlineStr">
        <is>
          <t>64K</t>
        </is>
      </c>
      <c r="D13" s="3" t="n">
        <v>2</v>
      </c>
      <c r="E13" s="4" t="n">
        <v>62000</v>
      </c>
      <c r="F13" s="4" t="n">
        <v>218</v>
      </c>
      <c r="G13" s="4" t="n">
        <v>24.56</v>
      </c>
      <c r="H13" s="4" t="n">
        <v>15.538</v>
      </c>
      <c r="I13" s="4" t="n">
        <v>33.583</v>
      </c>
      <c r="J13" s="4" t="n">
        <v>12.76</v>
      </c>
      <c r="K13" s="4" t="n">
        <v>16.96</v>
      </c>
      <c r="L13" s="4" t="n">
        <v>12.79</v>
      </c>
      <c r="M13" s="4" t="n">
        <v>21.14</v>
      </c>
      <c r="N13" s="4" t="n">
        <v>5.9</v>
      </c>
      <c r="O13" s="4" t="n">
        <v>62.73</v>
      </c>
      <c r="P13" s="4" t="n">
        <v>47.31</v>
      </c>
      <c r="Q13" s="4" t="n">
        <v>78.16</v>
      </c>
      <c r="R13" s="4" t="n">
        <v>28.41</v>
      </c>
      <c r="S13" s="4" t="n">
        <v>54.5</v>
      </c>
      <c r="T13" s="4" t="n">
        <v>100</v>
      </c>
    </row>
    <row r="14">
      <c r="A14" s="5" t="inlineStr">
        <is>
          <t>麦谷上游</t>
        </is>
      </c>
      <c r="B14" s="3" t="inlineStr">
        <is>
          <t>glm-5.2</t>
        </is>
      </c>
      <c r="C14" s="3" t="inlineStr">
        <is>
          <t>128K</t>
        </is>
      </c>
      <c r="D14" s="3" t="n">
        <v>2</v>
      </c>
      <c r="E14" s="4" t="n">
        <v>126000</v>
      </c>
      <c r="F14" s="4" t="n">
        <v>204.5</v>
      </c>
      <c r="G14" s="4" t="n">
        <v>40.507</v>
      </c>
      <c r="H14" s="4" t="n">
        <v>38.66</v>
      </c>
      <c r="I14" s="4" t="n">
        <v>42.354</v>
      </c>
      <c r="J14" s="4" t="n">
        <v>2.612</v>
      </c>
      <c r="K14" s="4" t="n">
        <v>14.2</v>
      </c>
      <c r="L14" s="4" t="n">
        <v>9.56</v>
      </c>
      <c r="M14" s="4" t="n">
        <v>18.83</v>
      </c>
      <c r="N14" s="4" t="n">
        <v>6.55</v>
      </c>
      <c r="O14" s="4" t="n">
        <v>78.87</v>
      </c>
      <c r="P14" s="4" t="n">
        <v>53.11</v>
      </c>
      <c r="Q14" s="4" t="n">
        <v>104.62</v>
      </c>
      <c r="R14" s="4" t="n">
        <v>43.24</v>
      </c>
      <c r="S14" s="4" t="n">
        <v>51</v>
      </c>
      <c r="T14" s="4" t="n">
        <v>100</v>
      </c>
    </row>
    <row r="15">
      <c r="A15" s="5" t="inlineStr">
        <is>
          <t>麦谷上游</t>
        </is>
      </c>
      <c r="B15" s="3" t="inlineStr">
        <is>
          <t>glm-5.2</t>
        </is>
      </c>
      <c r="C15" s="3" t="inlineStr">
        <is>
          <t>16K</t>
        </is>
      </c>
      <c r="D15" s="3" t="n">
        <v>3</v>
      </c>
      <c r="E15" s="4" t="n">
        <v>14000</v>
      </c>
      <c r="F15" s="4" t="n">
        <v>217.3</v>
      </c>
      <c r="G15" s="4" t="n">
        <v>16.9</v>
      </c>
      <c r="H15" s="4" t="n">
        <v>12.52</v>
      </c>
      <c r="I15" s="4" t="n">
        <v>21.115</v>
      </c>
      <c r="J15" s="4" t="n">
        <v>4.3</v>
      </c>
      <c r="K15" s="4" t="n">
        <v>12.14</v>
      </c>
      <c r="L15" s="4" t="n">
        <v>7.08</v>
      </c>
      <c r="M15" s="4" t="n">
        <v>18.5</v>
      </c>
      <c r="N15" s="4" t="n">
        <v>5.82</v>
      </c>
      <c r="O15" s="4" t="n">
        <v>95.84</v>
      </c>
      <c r="P15" s="4" t="n">
        <v>54.05</v>
      </c>
      <c r="Q15" s="4" t="n">
        <v>141.23</v>
      </c>
      <c r="R15" s="4" t="n">
        <v>19.478</v>
      </c>
      <c r="S15" s="4" t="n">
        <v>55.7</v>
      </c>
      <c r="T15" s="4" t="n">
        <v>100</v>
      </c>
    </row>
    <row r="16">
      <c r="A16" s="5" t="inlineStr">
        <is>
          <t>麦谷上游</t>
        </is>
      </c>
      <c r="B16" s="3" t="inlineStr">
        <is>
          <t>glm-5.2</t>
        </is>
      </c>
      <c r="C16" s="3" t="inlineStr">
        <is>
          <t>4K</t>
        </is>
      </c>
      <c r="D16" s="3" t="n">
        <v>3</v>
      </c>
      <c r="E16" s="4" t="n">
        <v>3072</v>
      </c>
      <c r="F16" s="4" t="n">
        <v>191.3</v>
      </c>
      <c r="G16" s="4" t="n">
        <v>17.234</v>
      </c>
      <c r="H16" s="4" t="n">
        <v>10.342</v>
      </c>
      <c r="I16" s="4" t="n">
        <v>29.196</v>
      </c>
      <c r="J16" s="4" t="n">
        <v>10.399</v>
      </c>
      <c r="K16" s="4" t="n">
        <v>15.51</v>
      </c>
      <c r="L16" s="4" t="n">
        <v>14.44</v>
      </c>
      <c r="M16" s="4" t="n">
        <v>16.93</v>
      </c>
      <c r="N16" s="4" t="n">
        <v>1.28</v>
      </c>
      <c r="O16" s="4" t="n">
        <v>64.75</v>
      </c>
      <c r="P16" s="4" t="n">
        <v>59.08</v>
      </c>
      <c r="Q16" s="4" t="n">
        <v>69.27</v>
      </c>
      <c r="R16" s="4" t="n">
        <v>20.297</v>
      </c>
      <c r="S16" s="4" t="n">
        <v>51</v>
      </c>
      <c r="T16" s="4" t="n">
        <v>100</v>
      </c>
    </row>
    <row r="17">
      <c r="A17" s="5" t="inlineStr">
        <is>
          <t>麦谷上游</t>
        </is>
      </c>
      <c r="B17" s="3" t="inlineStr">
        <is>
          <t>glm-5.2</t>
        </is>
      </c>
      <c r="C17" s="3" t="inlineStr">
        <is>
          <t>64K</t>
        </is>
      </c>
      <c r="D17" s="3" t="n">
        <v>2</v>
      </c>
      <c r="E17" s="4" t="n">
        <v>62000</v>
      </c>
      <c r="F17" s="4" t="n">
        <v>220.5</v>
      </c>
      <c r="G17" s="4" t="n">
        <v>36.865</v>
      </c>
      <c r="H17" s="4" t="n">
        <v>23.551</v>
      </c>
      <c r="I17" s="4" t="n">
        <v>50.18</v>
      </c>
      <c r="J17" s="4" t="n">
        <v>18.83</v>
      </c>
      <c r="K17" s="4" t="n">
        <v>23.84</v>
      </c>
      <c r="L17" s="4" t="n">
        <v>13.42</v>
      </c>
      <c r="M17" s="4" t="n">
        <v>34.26</v>
      </c>
      <c r="N17" s="4" t="n">
        <v>14.74</v>
      </c>
      <c r="O17" s="4" t="n">
        <v>51.85</v>
      </c>
      <c r="P17" s="4" t="n">
        <v>29.19</v>
      </c>
      <c r="Q17" s="4" t="n">
        <v>74.52</v>
      </c>
      <c r="R17" s="4" t="n">
        <v>42.148</v>
      </c>
      <c r="S17" s="4" t="n">
        <v>51</v>
      </c>
      <c r="T17" s="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</cols>
  <sheetData>
    <row r="1">
      <c r="A1" s="1" t="inlineStr">
        <is>
          <t>上下文</t>
        </is>
      </c>
      <c r="B1" s="1" t="inlineStr">
        <is>
          <t>模型</t>
        </is>
      </c>
      <c r="C1" s="1" t="inlineStr">
        <is>
          <t>TTFT-麦谷(s)</t>
        </is>
      </c>
      <c r="D1" s="1" t="inlineStr">
        <is>
          <t>TTFT-STS(s)</t>
        </is>
      </c>
      <c r="E1" s="1" t="inlineStr">
        <is>
          <t>TTFT差值</t>
        </is>
      </c>
      <c r="F1" s="1" t="inlineStr">
        <is>
          <t>TTFT胜出</t>
        </is>
      </c>
      <c r="G1" s="1" t="inlineStr">
        <is>
          <t>TPOT-麦谷(ms)</t>
        </is>
      </c>
      <c r="H1" s="1" t="inlineStr">
        <is>
          <t>TPOT-STS(ms)</t>
        </is>
      </c>
      <c r="I1" s="1" t="inlineStr">
        <is>
          <t>TPOT差值</t>
        </is>
      </c>
      <c r="J1" s="1" t="inlineStr">
        <is>
          <t>TPOT胜出</t>
        </is>
      </c>
      <c r="K1" s="1" t="inlineStr">
        <is>
          <t>TPS-麦谷</t>
        </is>
      </c>
      <c r="L1" s="1" t="inlineStr">
        <is>
          <t>TPS-STS</t>
        </is>
      </c>
      <c r="M1" s="1" t="inlineStr">
        <is>
          <t>TPS差值</t>
        </is>
      </c>
      <c r="N1" s="1" t="inlineStr">
        <is>
          <t>TPS胜出</t>
        </is>
      </c>
      <c r="O1" s="1" t="inlineStr">
        <is>
          <t>评分-麦谷</t>
        </is>
      </c>
      <c r="P1" s="1" t="inlineStr">
        <is>
          <t>评分-STS</t>
        </is>
      </c>
      <c r="Q1" s="1" t="inlineStr">
        <is>
          <t>成功率-麦谷</t>
        </is>
      </c>
      <c r="R1" s="1" t="inlineStr">
        <is>
          <t>成功率-STS</t>
        </is>
      </c>
    </row>
    <row r="2">
      <c r="A2" s="6">
        <f>== 4K ===</f>
        <v/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</row>
    <row r="3">
      <c r="A3" s="3" t="inlineStr">
        <is>
          <t>4K</t>
        </is>
      </c>
      <c r="B3" s="3" t="inlineStr">
        <is>
          <t>glm-5.1</t>
        </is>
      </c>
      <c r="C3" s="4" t="n">
        <v>25.843</v>
      </c>
      <c r="D3" s="4" t="n">
        <v>10.313</v>
      </c>
      <c r="E3" s="4" t="n">
        <v>-15.53</v>
      </c>
      <c r="F3" s="7" t="inlineStr">
        <is>
          <t>STS快</t>
        </is>
      </c>
      <c r="G3" s="4" t="n">
        <v>22.14</v>
      </c>
      <c r="H3" s="4" t="n">
        <v>13.13</v>
      </c>
      <c r="I3" s="4" t="n">
        <v>-9.01</v>
      </c>
      <c r="J3" s="7" t="inlineStr">
        <is>
          <t>STS快</t>
        </is>
      </c>
      <c r="K3" s="4" t="n">
        <v>48.76</v>
      </c>
      <c r="L3" s="4" t="n">
        <v>83.53</v>
      </c>
      <c r="M3" s="4" t="n">
        <v>34.77</v>
      </c>
      <c r="N3" s="7" t="inlineStr">
        <is>
          <t>STS高</t>
        </is>
      </c>
      <c r="O3" s="4" t="n">
        <v>53.3</v>
      </c>
      <c r="P3" s="4" t="n">
        <v>58</v>
      </c>
      <c r="Q3" s="4" t="n">
        <v>100</v>
      </c>
      <c r="R3" s="4" t="n">
        <v>100</v>
      </c>
    </row>
    <row r="4">
      <c r="A4" s="3" t="inlineStr">
        <is>
          <t>4K</t>
        </is>
      </c>
      <c r="B4" s="3" t="inlineStr">
        <is>
          <t>glm-5.2</t>
        </is>
      </c>
      <c r="C4" s="4" t="n">
        <v>17.234</v>
      </c>
      <c r="D4" s="4" t="n">
        <v>12.893</v>
      </c>
      <c r="E4" s="4" t="n">
        <v>-4.341</v>
      </c>
      <c r="F4" s="7" t="inlineStr">
        <is>
          <t>STS快</t>
        </is>
      </c>
      <c r="G4" s="4" t="n">
        <v>15.51</v>
      </c>
      <c r="H4" s="4" t="n">
        <v>12.18</v>
      </c>
      <c r="I4" s="4" t="n">
        <v>-3.33</v>
      </c>
      <c r="J4" s="7" t="inlineStr">
        <is>
          <t>STS快</t>
        </is>
      </c>
      <c r="K4" s="4" t="n">
        <v>64.75</v>
      </c>
      <c r="L4" s="4" t="n">
        <v>82.20999999999999</v>
      </c>
      <c r="M4" s="4" t="n">
        <v>17.46</v>
      </c>
      <c r="N4" s="7" t="inlineStr">
        <is>
          <t>STS高</t>
        </is>
      </c>
      <c r="O4" s="4" t="n">
        <v>51</v>
      </c>
      <c r="P4" s="4" t="n">
        <v>55.7</v>
      </c>
      <c r="Q4" s="4" t="n">
        <v>100</v>
      </c>
      <c r="R4" s="4" t="n">
        <v>100</v>
      </c>
    </row>
    <row r="5">
      <c r="A5" s="6">
        <f>== 16K ===</f>
        <v/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3" t="inlineStr">
        <is>
          <t>16K</t>
        </is>
      </c>
      <c r="B6" s="3" t="inlineStr">
        <is>
          <t>glm-5.1</t>
        </is>
      </c>
      <c r="C6" s="4" t="n">
        <v>16.125</v>
      </c>
      <c r="D6" s="4" t="n">
        <v>16.808</v>
      </c>
      <c r="E6" s="4" t="n">
        <v>0.6830000000000001</v>
      </c>
      <c r="F6" s="7" t="inlineStr">
        <is>
          <t>麦谷快</t>
        </is>
      </c>
      <c r="G6" s="4" t="n">
        <v>14.61</v>
      </c>
      <c r="H6" s="4" t="n">
        <v>10.35</v>
      </c>
      <c r="I6" s="4" t="n">
        <v>-4.26</v>
      </c>
      <c r="J6" s="7" t="inlineStr">
        <is>
          <t>STS快</t>
        </is>
      </c>
      <c r="K6" s="4" t="n">
        <v>69.03</v>
      </c>
      <c r="L6" s="4" t="n">
        <v>97.23</v>
      </c>
      <c r="M6" s="4" t="n">
        <v>28.2</v>
      </c>
      <c r="N6" s="7" t="inlineStr">
        <is>
          <t>STS高</t>
        </is>
      </c>
      <c r="O6" s="4" t="n">
        <v>51</v>
      </c>
      <c r="P6" s="4" t="n">
        <v>55.7</v>
      </c>
      <c r="Q6" s="4" t="n">
        <v>100</v>
      </c>
      <c r="R6" s="4" t="n">
        <v>100</v>
      </c>
    </row>
    <row r="7">
      <c r="A7" s="3" t="inlineStr">
        <is>
          <t>16K</t>
        </is>
      </c>
      <c r="B7" s="3" t="inlineStr">
        <is>
          <t>glm-5.2</t>
        </is>
      </c>
      <c r="C7" s="4" t="n">
        <v>16.9</v>
      </c>
      <c r="D7" s="4" t="n">
        <v>12.652</v>
      </c>
      <c r="E7" s="4" t="n">
        <v>-4.248</v>
      </c>
      <c r="F7" s="7" t="inlineStr">
        <is>
          <t>STS快</t>
        </is>
      </c>
      <c r="G7" s="4" t="n">
        <v>12.14</v>
      </c>
      <c r="H7" s="4" t="n">
        <v>10.03</v>
      </c>
      <c r="I7" s="4" t="n">
        <v>-2.11</v>
      </c>
      <c r="J7" s="7" t="inlineStr">
        <is>
          <t>STS快</t>
        </is>
      </c>
      <c r="K7" s="4" t="n">
        <v>95.84</v>
      </c>
      <c r="L7" s="4" t="n">
        <v>103.53</v>
      </c>
      <c r="M7" s="4" t="n">
        <v>7.69</v>
      </c>
      <c r="N7" s="7" t="inlineStr">
        <is>
          <t>STS高</t>
        </is>
      </c>
      <c r="O7" s="4" t="n">
        <v>55.7</v>
      </c>
      <c r="P7" s="4" t="n">
        <v>53.3</v>
      </c>
      <c r="Q7" s="4" t="n">
        <v>100</v>
      </c>
      <c r="R7" s="4" t="n">
        <v>100</v>
      </c>
    </row>
    <row r="8">
      <c r="A8" s="6">
        <f>== 64K ===</f>
        <v/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9">
      <c r="A9" s="3" t="inlineStr">
        <is>
          <t>64K</t>
        </is>
      </c>
      <c r="B9" s="3" t="inlineStr">
        <is>
          <t>glm-5.1</t>
        </is>
      </c>
      <c r="C9" s="4" t="n">
        <v>24.56</v>
      </c>
      <c r="D9" s="4" t="n">
        <v>21.17</v>
      </c>
      <c r="E9" s="4" t="n">
        <v>-3.39</v>
      </c>
      <c r="F9" s="7" t="inlineStr">
        <is>
          <t>STS快</t>
        </is>
      </c>
      <c r="G9" s="4" t="n">
        <v>16.96</v>
      </c>
      <c r="H9" s="4" t="n">
        <v>11.75</v>
      </c>
      <c r="I9" s="4" t="n">
        <v>-5.21</v>
      </c>
      <c r="J9" s="7" t="inlineStr">
        <is>
          <t>STS快</t>
        </is>
      </c>
      <c r="K9" s="4" t="n">
        <v>62.73</v>
      </c>
      <c r="L9" s="4" t="n">
        <v>85.64</v>
      </c>
      <c r="M9" s="4" t="n">
        <v>22.91</v>
      </c>
      <c r="N9" s="7" t="inlineStr">
        <is>
          <t>STS高</t>
        </is>
      </c>
      <c r="O9" s="4" t="n">
        <v>54.5</v>
      </c>
      <c r="P9" s="4" t="n">
        <v>51</v>
      </c>
      <c r="Q9" s="4" t="n">
        <v>100</v>
      </c>
      <c r="R9" s="4" t="n">
        <v>100</v>
      </c>
    </row>
    <row r="10">
      <c r="A10" s="3" t="inlineStr">
        <is>
          <t>64K</t>
        </is>
      </c>
      <c r="B10" s="3" t="inlineStr">
        <is>
          <t>glm-5.2</t>
        </is>
      </c>
      <c r="C10" s="4" t="n">
        <v>36.865</v>
      </c>
      <c r="D10" s="4" t="n">
        <v>14.266</v>
      </c>
      <c r="E10" s="4" t="n">
        <v>-22.599</v>
      </c>
      <c r="F10" s="7" t="inlineStr">
        <is>
          <t>STS快</t>
        </is>
      </c>
      <c r="G10" s="4" t="n">
        <v>23.84</v>
      </c>
      <c r="H10" s="4" t="n">
        <v>12.73</v>
      </c>
      <c r="I10" s="4" t="n">
        <v>-11.11</v>
      </c>
      <c r="J10" s="7" t="inlineStr">
        <is>
          <t>STS快</t>
        </is>
      </c>
      <c r="K10" s="4" t="n">
        <v>51.85</v>
      </c>
      <c r="L10" s="4" t="n">
        <v>79.53</v>
      </c>
      <c r="M10" s="4" t="n">
        <v>27.68</v>
      </c>
      <c r="N10" s="7" t="inlineStr">
        <is>
          <t>STS高</t>
        </is>
      </c>
      <c r="O10" s="4" t="n">
        <v>51</v>
      </c>
      <c r="P10" s="4" t="n">
        <v>54.5</v>
      </c>
      <c r="Q10" s="4" t="n">
        <v>100</v>
      </c>
      <c r="R10" s="4" t="n">
        <v>100</v>
      </c>
    </row>
    <row r="11">
      <c r="A11" s="6">
        <f>== 128K ===</f>
        <v/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>
      <c r="A12" s="3" t="inlineStr">
        <is>
          <t>128K</t>
        </is>
      </c>
      <c r="B12" s="3" t="inlineStr">
        <is>
          <t>glm-5.1</t>
        </is>
      </c>
      <c r="C12" s="4" t="n">
        <v>28.287</v>
      </c>
      <c r="D12" s="4" t="n">
        <v>17.736</v>
      </c>
      <c r="E12" s="4" t="n">
        <v>-10.551</v>
      </c>
      <c r="F12" s="7" t="inlineStr">
        <is>
          <t>STS快</t>
        </is>
      </c>
      <c r="G12" s="4" t="n">
        <v>13.14</v>
      </c>
      <c r="H12" s="4" t="n">
        <v>18.73</v>
      </c>
      <c r="I12" s="4" t="n">
        <v>5.59</v>
      </c>
      <c r="J12" s="7" t="inlineStr">
        <is>
          <t>麦谷快</t>
        </is>
      </c>
      <c r="K12" s="4" t="n">
        <v>76.69</v>
      </c>
      <c r="L12" s="4" t="n">
        <v>56.11</v>
      </c>
      <c r="M12" s="4" t="n">
        <v>-20.58</v>
      </c>
      <c r="N12" s="7" t="inlineStr">
        <is>
          <t>麦谷高</t>
        </is>
      </c>
      <c r="O12" s="4" t="n">
        <v>54.5</v>
      </c>
      <c r="P12" s="4" t="n">
        <v>51</v>
      </c>
      <c r="Q12" s="4" t="n">
        <v>100</v>
      </c>
      <c r="R12" s="4" t="n">
        <v>100</v>
      </c>
    </row>
    <row r="13">
      <c r="A13" s="3" t="inlineStr">
        <is>
          <t>128K</t>
        </is>
      </c>
      <c r="B13" s="3" t="inlineStr">
        <is>
          <t>glm-5.2</t>
        </is>
      </c>
      <c r="C13" s="4" t="n">
        <v>40.507</v>
      </c>
      <c r="D13" s="4" t="n">
        <v>15.55</v>
      </c>
      <c r="E13" s="4" t="n">
        <v>-24.957</v>
      </c>
      <c r="F13" s="7" t="inlineStr">
        <is>
          <t>STS快</t>
        </is>
      </c>
      <c r="G13" s="4" t="n">
        <v>14.2</v>
      </c>
      <c r="H13" s="4" t="n">
        <v>13.24</v>
      </c>
      <c r="I13" s="4" t="n">
        <v>-0.96</v>
      </c>
      <c r="J13" s="7" t="inlineStr">
        <is>
          <t>STS快</t>
        </is>
      </c>
      <c r="K13" s="4" t="n">
        <v>78.87</v>
      </c>
      <c r="L13" s="4" t="n">
        <v>75.72</v>
      </c>
      <c r="M13" s="4" t="n">
        <v>-3.15</v>
      </c>
      <c r="N13" s="7" t="inlineStr">
        <is>
          <t>麦谷高</t>
        </is>
      </c>
      <c r="O13" s="4" t="n">
        <v>51</v>
      </c>
      <c r="P13" s="4" t="n">
        <v>51</v>
      </c>
      <c r="Q13" s="4" t="n">
        <v>100</v>
      </c>
      <c r="R13" s="4" t="n">
        <v>100</v>
      </c>
    </row>
  </sheetData>
  <mergeCells count="4">
    <mergeCell ref="A8:R8"/>
    <mergeCell ref="A2:R2"/>
    <mergeCell ref="A11:R11"/>
    <mergeCell ref="A5:R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4" customWidth="1" min="5" max="5"/>
    <col width="14" customWidth="1" min="6" max="6"/>
    <col width="10" customWidth="1" min="7" max="7"/>
    <col width="10" customWidth="1" min="8" max="8"/>
    <col width="8" customWidth="1" min="9" max="9"/>
    <col width="12" customWidth="1" min="10" max="10"/>
    <col width="10" customWidth="1" min="11" max="11"/>
    <col width="12" customWidth="1" min="12" max="12"/>
    <col width="8" customWidth="1" min="13" max="13"/>
    <col width="40" customWidth="1" min="14" max="14"/>
  </cols>
  <sheetData>
    <row r="1">
      <c r="A1" s="1" t="inlineStr">
        <is>
          <t>端点</t>
        </is>
      </c>
      <c r="B1" s="1" t="inlineStr">
        <is>
          <t>模型</t>
        </is>
      </c>
      <c r="C1" s="1" t="inlineStr">
        <is>
          <t>上下文</t>
        </is>
      </c>
      <c r="D1" s="1" t="inlineStr">
        <is>
          <t>样本#</t>
        </is>
      </c>
      <c r="E1" s="1" t="inlineStr">
        <is>
          <t>输入Tokens</t>
        </is>
      </c>
      <c r="F1" s="1" t="inlineStr">
        <is>
          <t>输出Tokens</t>
        </is>
      </c>
      <c r="G1" s="1" t="inlineStr">
        <is>
          <t>TTFT(s)</t>
        </is>
      </c>
      <c r="H1" s="1" t="inlineStr">
        <is>
          <t>TPOT(ms)</t>
        </is>
      </c>
      <c r="I1" s="1" t="inlineStr">
        <is>
          <t>TPS</t>
        </is>
      </c>
      <c r="J1" s="1" t="inlineStr">
        <is>
          <t>总耗时(s)</t>
        </is>
      </c>
      <c r="K1" s="1" t="inlineStr">
        <is>
          <t>任务评分</t>
        </is>
      </c>
      <c r="L1" s="1" t="inlineStr">
        <is>
          <t>思考chunks</t>
        </is>
      </c>
      <c r="M1" s="1" t="inlineStr">
        <is>
          <t>成功</t>
        </is>
      </c>
      <c r="N1" s="1" t="inlineStr">
        <is>
          <t>错误信息</t>
        </is>
      </c>
    </row>
    <row r="2">
      <c r="A2" s="2" t="inlineStr">
        <is>
          <t>STS中转</t>
        </is>
      </c>
      <c r="B2" s="3" t="inlineStr">
        <is>
          <t>glm-5.1</t>
        </is>
      </c>
      <c r="C2" s="3" t="inlineStr">
        <is>
          <t>128K</t>
        </is>
      </c>
      <c r="D2" s="3" t="n">
        <v>1</v>
      </c>
      <c r="E2" s="4" t="n">
        <v>126000</v>
      </c>
      <c r="F2" s="4" t="n">
        <v>179</v>
      </c>
      <c r="G2" s="4" t="n">
        <v>19.763</v>
      </c>
      <c r="H2" s="4" t="n">
        <v>22.87</v>
      </c>
      <c r="I2" s="4" t="n">
        <v>43.73</v>
      </c>
      <c r="J2" s="4" t="n">
        <v>23.857</v>
      </c>
      <c r="K2" s="4" t="n">
        <v>51</v>
      </c>
      <c r="L2" s="4" t="n">
        <v>483</v>
      </c>
      <c r="M2" s="3" t="inlineStr">
        <is>
          <t>✓</t>
        </is>
      </c>
      <c r="N2" s="3" t="inlineStr"/>
    </row>
    <row r="3">
      <c r="A3" s="2" t="inlineStr">
        <is>
          <t>STS中转</t>
        </is>
      </c>
      <c r="B3" s="3" t="inlineStr">
        <is>
          <t>glm-5.1</t>
        </is>
      </c>
      <c r="C3" s="3" t="inlineStr">
        <is>
          <t>128K</t>
        </is>
      </c>
      <c r="D3" s="3" t="n">
        <v>2</v>
      </c>
      <c r="E3" s="4" t="n">
        <v>126000</v>
      </c>
      <c r="F3" s="4" t="n">
        <v>166</v>
      </c>
      <c r="G3" s="4" t="n">
        <v>15.71</v>
      </c>
      <c r="H3" s="4" t="n">
        <v>14.6</v>
      </c>
      <c r="I3" s="4" t="n">
        <v>68.48</v>
      </c>
      <c r="J3" s="4" t="n">
        <v>18.151</v>
      </c>
      <c r="K3" s="4" t="n">
        <v>51</v>
      </c>
      <c r="L3" s="4" t="n">
        <v>189</v>
      </c>
      <c r="M3" s="3" t="inlineStr">
        <is>
          <t>✓</t>
        </is>
      </c>
      <c r="N3" s="3" t="inlineStr"/>
    </row>
    <row r="4">
      <c r="A4" s="2" t="inlineStr">
        <is>
          <t>STS中转</t>
        </is>
      </c>
      <c r="B4" s="3" t="inlineStr">
        <is>
          <t>glm-5.1</t>
        </is>
      </c>
      <c r="C4" s="3" t="inlineStr">
        <is>
          <t>16K</t>
        </is>
      </c>
      <c r="D4" s="3" t="n">
        <v>1</v>
      </c>
      <c r="E4" s="4" t="n">
        <v>14000</v>
      </c>
      <c r="F4" s="4" t="n">
        <v>224</v>
      </c>
      <c r="G4" s="4" t="n">
        <v>13.194</v>
      </c>
      <c r="H4" s="4" t="n">
        <v>11.52</v>
      </c>
      <c r="I4" s="4" t="n">
        <v>86.83</v>
      </c>
      <c r="J4" s="4" t="n">
        <v>15.786</v>
      </c>
      <c r="K4" s="4" t="n">
        <v>51</v>
      </c>
      <c r="L4" s="4" t="n">
        <v>511</v>
      </c>
      <c r="M4" s="3" t="inlineStr">
        <is>
          <t>✓</t>
        </is>
      </c>
      <c r="N4" s="3" t="inlineStr"/>
    </row>
    <row r="5">
      <c r="A5" s="2" t="inlineStr">
        <is>
          <t>STS中转</t>
        </is>
      </c>
      <c r="B5" s="3" t="inlineStr">
        <is>
          <t>glm-5.1</t>
        </is>
      </c>
      <c r="C5" s="3" t="inlineStr">
        <is>
          <t>16K</t>
        </is>
      </c>
      <c r="D5" s="3" t="n">
        <v>2</v>
      </c>
      <c r="E5" s="4" t="n">
        <v>14000</v>
      </c>
      <c r="F5" s="4" t="n">
        <v>232</v>
      </c>
      <c r="G5" s="4" t="n">
        <v>14.002</v>
      </c>
      <c r="H5" s="4" t="n">
        <v>9.890000000000001</v>
      </c>
      <c r="I5" s="4" t="n">
        <v>101.15</v>
      </c>
      <c r="J5" s="4" t="n">
        <v>16.304</v>
      </c>
      <c r="K5" s="4" t="n">
        <v>58</v>
      </c>
      <c r="L5" s="4" t="n">
        <v>747</v>
      </c>
      <c r="M5" s="3" t="inlineStr">
        <is>
          <t>✓</t>
        </is>
      </c>
      <c r="N5" s="3" t="inlineStr"/>
    </row>
    <row r="6">
      <c r="A6" s="2" t="inlineStr">
        <is>
          <t>STS中转</t>
        </is>
      </c>
      <c r="B6" s="3" t="inlineStr">
        <is>
          <t>glm-5.1</t>
        </is>
      </c>
      <c r="C6" s="3" t="inlineStr">
        <is>
          <t>16K</t>
        </is>
      </c>
      <c r="D6" s="3" t="n">
        <v>3</v>
      </c>
      <c r="E6" s="4" t="n">
        <v>14000</v>
      </c>
      <c r="F6" s="4" t="n">
        <v>242</v>
      </c>
      <c r="G6" s="4" t="n">
        <v>23.229</v>
      </c>
      <c r="H6" s="4" t="n">
        <v>9.640000000000001</v>
      </c>
      <c r="I6" s="4" t="n">
        <v>103.72</v>
      </c>
      <c r="J6" s="4" t="n">
        <v>25.672</v>
      </c>
      <c r="K6" s="4" t="n">
        <v>58</v>
      </c>
      <c r="L6" s="4" t="n">
        <v>1474</v>
      </c>
      <c r="M6" s="3" t="inlineStr">
        <is>
          <t>✓</t>
        </is>
      </c>
      <c r="N6" s="3" t="inlineStr"/>
    </row>
    <row r="7">
      <c r="A7" s="2" t="inlineStr">
        <is>
          <t>STS中转</t>
        </is>
      </c>
      <c r="B7" s="3" t="inlineStr">
        <is>
          <t>glm-5.1</t>
        </is>
      </c>
      <c r="C7" s="3" t="inlineStr">
        <is>
          <t>4K</t>
        </is>
      </c>
      <c r="D7" s="3" t="n">
        <v>1</v>
      </c>
      <c r="E7" s="4" t="n">
        <v>3072</v>
      </c>
      <c r="F7" s="4" t="n">
        <v>232</v>
      </c>
      <c r="G7" s="4" t="n">
        <v>12.477</v>
      </c>
      <c r="H7" s="4" t="n">
        <v>8.65</v>
      </c>
      <c r="I7" s="4" t="n">
        <v>115.62</v>
      </c>
      <c r="J7" s="4" t="n">
        <v>14.49</v>
      </c>
      <c r="K7" s="4" t="n">
        <v>58</v>
      </c>
      <c r="L7" s="4" t="n">
        <v>524</v>
      </c>
      <c r="M7" s="3" t="inlineStr">
        <is>
          <t>✓</t>
        </is>
      </c>
      <c r="N7" s="3" t="inlineStr"/>
    </row>
    <row r="8">
      <c r="A8" s="2" t="inlineStr">
        <is>
          <t>STS中转</t>
        </is>
      </c>
      <c r="B8" s="3" t="inlineStr">
        <is>
          <t>glm-5.1</t>
        </is>
      </c>
      <c r="C8" s="3" t="inlineStr">
        <is>
          <t>4K</t>
        </is>
      </c>
      <c r="D8" s="3" t="n">
        <v>2</v>
      </c>
      <c r="E8" s="4" t="n">
        <v>3072</v>
      </c>
      <c r="F8" s="4" t="n">
        <v>258</v>
      </c>
      <c r="G8" s="4" t="n">
        <v>9.494</v>
      </c>
      <c r="H8" s="4" t="n">
        <v>18.29</v>
      </c>
      <c r="I8" s="4" t="n">
        <v>54.67</v>
      </c>
      <c r="J8" s="4" t="n">
        <v>14.218</v>
      </c>
      <c r="K8" s="4" t="n">
        <v>58</v>
      </c>
      <c r="L8" s="4" t="n">
        <v>331</v>
      </c>
      <c r="M8" s="3" t="inlineStr">
        <is>
          <t>✓</t>
        </is>
      </c>
      <c r="N8" s="3" t="inlineStr"/>
    </row>
    <row r="9">
      <c r="A9" s="2" t="inlineStr">
        <is>
          <t>STS中转</t>
        </is>
      </c>
      <c r="B9" s="3" t="inlineStr">
        <is>
          <t>glm-5.1</t>
        </is>
      </c>
      <c r="C9" s="3" t="inlineStr">
        <is>
          <t>4K</t>
        </is>
      </c>
      <c r="D9" s="3" t="n">
        <v>3</v>
      </c>
      <c r="E9" s="4" t="n">
        <v>3072</v>
      </c>
      <c r="F9" s="4" t="n">
        <v>235</v>
      </c>
      <c r="G9" s="4" t="n">
        <v>8.967000000000001</v>
      </c>
      <c r="H9" s="4" t="n">
        <v>12.45</v>
      </c>
      <c r="I9" s="4" t="n">
        <v>80.3</v>
      </c>
      <c r="J9" s="4" t="n">
        <v>11.9</v>
      </c>
      <c r="K9" s="4" t="n">
        <v>58</v>
      </c>
      <c r="L9" s="4" t="n">
        <v>431</v>
      </c>
      <c r="M9" s="3" t="inlineStr">
        <is>
          <t>✓</t>
        </is>
      </c>
      <c r="N9" s="3" t="inlineStr"/>
    </row>
    <row r="10">
      <c r="A10" s="2" t="inlineStr">
        <is>
          <t>STS中转</t>
        </is>
      </c>
      <c r="B10" s="3" t="inlineStr">
        <is>
          <t>glm-5.1</t>
        </is>
      </c>
      <c r="C10" s="3" t="inlineStr">
        <is>
          <t>64K</t>
        </is>
      </c>
      <c r="D10" s="3" t="n">
        <v>1</v>
      </c>
      <c r="E10" s="4" t="n">
        <v>62000</v>
      </c>
      <c r="F10" s="4" t="n">
        <v>223</v>
      </c>
      <c r="G10" s="4" t="n">
        <v>25.697</v>
      </c>
      <c r="H10" s="4" t="n">
        <v>10.78</v>
      </c>
      <c r="I10" s="4" t="n">
        <v>92.73</v>
      </c>
      <c r="J10" s="4" t="n">
        <v>28.121</v>
      </c>
      <c r="K10" s="4" t="n">
        <v>51</v>
      </c>
      <c r="L10" s="4" t="n">
        <v>845</v>
      </c>
      <c r="M10" s="3" t="inlineStr">
        <is>
          <t>✓</t>
        </is>
      </c>
      <c r="N10" s="3" t="inlineStr"/>
    </row>
    <row r="11">
      <c r="A11" s="2" t="inlineStr">
        <is>
          <t>STS中转</t>
        </is>
      </c>
      <c r="B11" s="3" t="inlineStr">
        <is>
          <t>glm-5.1</t>
        </is>
      </c>
      <c r="C11" s="3" t="inlineStr">
        <is>
          <t>64K</t>
        </is>
      </c>
      <c r="D11" s="3" t="n">
        <v>2</v>
      </c>
      <c r="E11" s="4" t="n">
        <v>62000</v>
      </c>
      <c r="F11" s="4" t="n">
        <v>205</v>
      </c>
      <c r="G11" s="4" t="n">
        <v>16.644</v>
      </c>
      <c r="H11" s="4" t="n">
        <v>12.73</v>
      </c>
      <c r="I11" s="4" t="n">
        <v>78.55</v>
      </c>
      <c r="J11" s="4" t="n">
        <v>19.296</v>
      </c>
      <c r="K11" s="4" t="n">
        <v>51</v>
      </c>
      <c r="L11" s="4" t="n">
        <v>539</v>
      </c>
      <c r="M11" s="3" t="inlineStr">
        <is>
          <t>✓</t>
        </is>
      </c>
      <c r="N11" s="3" t="inlineStr"/>
    </row>
    <row r="12">
      <c r="A12" s="2" t="inlineStr">
        <is>
          <t>STS中转</t>
        </is>
      </c>
      <c r="B12" s="3" t="inlineStr">
        <is>
          <t>glm-5.2</t>
        </is>
      </c>
      <c r="C12" s="3" t="inlineStr">
        <is>
          <t>128K</t>
        </is>
      </c>
      <c r="D12" s="3" t="n">
        <v>1</v>
      </c>
      <c r="E12" s="4" t="n">
        <v>126000</v>
      </c>
      <c r="F12" s="4" t="n">
        <v>228</v>
      </c>
      <c r="G12" s="4" t="n">
        <v>13.34</v>
      </c>
      <c r="H12" s="4" t="n">
        <v>13.92</v>
      </c>
      <c r="I12" s="4" t="n">
        <v>71.84</v>
      </c>
      <c r="J12" s="4" t="n">
        <v>16.527</v>
      </c>
      <c r="K12" s="4" t="n">
        <v>51</v>
      </c>
      <c r="L12" s="4" t="n">
        <v>230</v>
      </c>
      <c r="M12" s="3" t="inlineStr">
        <is>
          <t>✓</t>
        </is>
      </c>
      <c r="N12" s="3" t="inlineStr"/>
    </row>
    <row r="13">
      <c r="A13" s="2" t="inlineStr">
        <is>
          <t>STS中转</t>
        </is>
      </c>
      <c r="B13" s="3" t="inlineStr">
        <is>
          <t>glm-5.2</t>
        </is>
      </c>
      <c r="C13" s="3" t="inlineStr">
        <is>
          <t>128K</t>
        </is>
      </c>
      <c r="D13" s="3" t="n">
        <v>2</v>
      </c>
      <c r="E13" s="4" t="n">
        <v>126000</v>
      </c>
      <c r="F13" s="4" t="n">
        <v>163</v>
      </c>
      <c r="G13" s="4" t="n">
        <v>17.76</v>
      </c>
      <c r="H13" s="4" t="n">
        <v>12.56</v>
      </c>
      <c r="I13" s="4" t="n">
        <v>79.61</v>
      </c>
      <c r="J13" s="4" t="n">
        <v>19.822</v>
      </c>
      <c r="K13" s="4" t="n">
        <v>51</v>
      </c>
      <c r="L13" s="4" t="n">
        <v>608</v>
      </c>
      <c r="M13" s="3" t="inlineStr">
        <is>
          <t>✓</t>
        </is>
      </c>
      <c r="N13" s="3" t="inlineStr"/>
    </row>
    <row r="14">
      <c r="A14" s="2" t="inlineStr">
        <is>
          <t>STS中转</t>
        </is>
      </c>
      <c r="B14" s="3" t="inlineStr">
        <is>
          <t>glm-5.2</t>
        </is>
      </c>
      <c r="C14" s="3" t="inlineStr">
        <is>
          <t>16K</t>
        </is>
      </c>
      <c r="D14" s="3" t="n">
        <v>1</v>
      </c>
      <c r="E14" s="4" t="n">
        <v>14000</v>
      </c>
      <c r="F14" s="4" t="n">
        <v>216</v>
      </c>
      <c r="G14" s="4" t="n">
        <v>9.867000000000001</v>
      </c>
      <c r="H14" s="4" t="n">
        <v>12.56</v>
      </c>
      <c r="I14" s="4" t="n">
        <v>79.65000000000001</v>
      </c>
      <c r="J14" s="4" t="n">
        <v>12.593</v>
      </c>
      <c r="K14" s="4" t="n">
        <v>58</v>
      </c>
      <c r="L14" s="4" t="n">
        <v>358</v>
      </c>
      <c r="M14" s="3" t="inlineStr">
        <is>
          <t>✓</t>
        </is>
      </c>
      <c r="N14" s="3" t="inlineStr"/>
    </row>
    <row r="15">
      <c r="A15" s="2" t="inlineStr">
        <is>
          <t>STS中转</t>
        </is>
      </c>
      <c r="B15" s="3" t="inlineStr">
        <is>
          <t>glm-5.2</t>
        </is>
      </c>
      <c r="C15" s="3" t="inlineStr">
        <is>
          <t>16K</t>
        </is>
      </c>
      <c r="D15" s="3" t="n">
        <v>2</v>
      </c>
      <c r="E15" s="4" t="n">
        <v>14000</v>
      </c>
      <c r="F15" s="4" t="n">
        <v>206</v>
      </c>
      <c r="G15" s="4" t="n">
        <v>14.566</v>
      </c>
      <c r="H15" s="4" t="n">
        <v>7.81</v>
      </c>
      <c r="I15" s="4" t="n">
        <v>128.01</v>
      </c>
      <c r="J15" s="4" t="n">
        <v>16.191</v>
      </c>
      <c r="K15" s="4" t="n">
        <v>51</v>
      </c>
      <c r="L15" s="4" t="n">
        <v>625</v>
      </c>
      <c r="M15" s="3" t="inlineStr">
        <is>
          <t>✓</t>
        </is>
      </c>
      <c r="N15" s="3" t="inlineStr"/>
    </row>
    <row r="16">
      <c r="A16" s="2" t="inlineStr">
        <is>
          <t>STS中转</t>
        </is>
      </c>
      <c r="B16" s="3" t="inlineStr">
        <is>
          <t>glm-5.2</t>
        </is>
      </c>
      <c r="C16" s="3" t="inlineStr">
        <is>
          <t>16K</t>
        </is>
      </c>
      <c r="D16" s="3" t="n">
        <v>3</v>
      </c>
      <c r="E16" s="4" t="n">
        <v>14000</v>
      </c>
      <c r="F16" s="4" t="n">
        <v>170</v>
      </c>
      <c r="G16" s="4" t="n">
        <v>13.522</v>
      </c>
      <c r="H16" s="4" t="n">
        <v>9.720000000000001</v>
      </c>
      <c r="I16" s="4" t="n">
        <v>102.93</v>
      </c>
      <c r="J16" s="4" t="n">
        <v>15.196</v>
      </c>
      <c r="K16" s="4" t="n">
        <v>51</v>
      </c>
      <c r="L16" s="4" t="n">
        <v>760</v>
      </c>
      <c r="M16" s="3" t="inlineStr">
        <is>
          <t>✓</t>
        </is>
      </c>
      <c r="N16" s="3" t="inlineStr"/>
    </row>
    <row r="17">
      <c r="A17" s="2" t="inlineStr">
        <is>
          <t>STS中转</t>
        </is>
      </c>
      <c r="B17" s="3" t="inlineStr">
        <is>
          <t>glm-5.2</t>
        </is>
      </c>
      <c r="C17" s="3" t="inlineStr">
        <is>
          <t>4K</t>
        </is>
      </c>
      <c r="D17" s="3" t="n">
        <v>1</v>
      </c>
      <c r="E17" s="4" t="n">
        <v>3072</v>
      </c>
      <c r="F17" s="4" t="n">
        <v>225</v>
      </c>
      <c r="G17" s="4" t="n">
        <v>13.822</v>
      </c>
      <c r="H17" s="4" t="n">
        <v>11.62</v>
      </c>
      <c r="I17" s="4" t="n">
        <v>86.03</v>
      </c>
      <c r="J17" s="4" t="n">
        <v>16.51</v>
      </c>
      <c r="K17" s="4" t="n">
        <v>58</v>
      </c>
      <c r="L17" s="4" t="n">
        <v>823</v>
      </c>
      <c r="M17" s="3" t="inlineStr">
        <is>
          <t>✓</t>
        </is>
      </c>
      <c r="N17" s="3" t="inlineStr"/>
    </row>
    <row r="18">
      <c r="A18" s="2" t="inlineStr">
        <is>
          <t>STS中转</t>
        </is>
      </c>
      <c r="B18" s="3" t="inlineStr">
        <is>
          <t>glm-5.2</t>
        </is>
      </c>
      <c r="C18" s="3" t="inlineStr">
        <is>
          <t>4K</t>
        </is>
      </c>
      <c r="D18" s="3" t="n">
        <v>2</v>
      </c>
      <c r="E18" s="4" t="n">
        <v>3072</v>
      </c>
      <c r="F18" s="4" t="n">
        <v>225</v>
      </c>
      <c r="G18" s="4" t="n">
        <v>11.582</v>
      </c>
      <c r="H18" s="4" t="n">
        <v>12.58</v>
      </c>
      <c r="I18" s="4" t="n">
        <v>79.51000000000001</v>
      </c>
      <c r="J18" s="4" t="n">
        <v>14.422</v>
      </c>
      <c r="K18" s="4" t="n">
        <v>51</v>
      </c>
      <c r="L18" s="4" t="n">
        <v>722</v>
      </c>
      <c r="M18" s="3" t="inlineStr">
        <is>
          <t>✓</t>
        </is>
      </c>
      <c r="N18" s="3" t="inlineStr"/>
    </row>
    <row r="19">
      <c r="A19" s="2" t="inlineStr">
        <is>
          <t>STS中转</t>
        </is>
      </c>
      <c r="B19" s="3" t="inlineStr">
        <is>
          <t>glm-5.2</t>
        </is>
      </c>
      <c r="C19" s="3" t="inlineStr">
        <is>
          <t>4K</t>
        </is>
      </c>
      <c r="D19" s="3" t="n">
        <v>3</v>
      </c>
      <c r="E19" s="4" t="n">
        <v>3072</v>
      </c>
      <c r="F19" s="4" t="n">
        <v>232</v>
      </c>
      <c r="G19" s="4" t="n">
        <v>13.275</v>
      </c>
      <c r="H19" s="4" t="n">
        <v>12.33</v>
      </c>
      <c r="I19" s="4" t="n">
        <v>81.09</v>
      </c>
      <c r="J19" s="4" t="n">
        <v>16.146</v>
      </c>
      <c r="K19" s="4" t="n">
        <v>58</v>
      </c>
      <c r="L19" s="4" t="n">
        <v>719</v>
      </c>
      <c r="M19" s="3" t="inlineStr">
        <is>
          <t>✓</t>
        </is>
      </c>
      <c r="N19" s="3" t="inlineStr"/>
    </row>
    <row r="20">
      <c r="A20" s="2" t="inlineStr">
        <is>
          <t>STS中转</t>
        </is>
      </c>
      <c r="B20" s="3" t="inlineStr">
        <is>
          <t>glm-5.2</t>
        </is>
      </c>
      <c r="C20" s="3" t="inlineStr">
        <is>
          <t>64K</t>
        </is>
      </c>
      <c r="D20" s="3" t="n">
        <v>1</v>
      </c>
      <c r="E20" s="4" t="n">
        <v>62000</v>
      </c>
      <c r="F20" s="4" t="n">
        <v>169</v>
      </c>
      <c r="G20" s="4" t="n">
        <v>14.923</v>
      </c>
      <c r="H20" s="4" t="n">
        <v>14.13</v>
      </c>
      <c r="I20" s="4" t="n">
        <v>70.78</v>
      </c>
      <c r="J20" s="4" t="n">
        <v>17.327</v>
      </c>
      <c r="K20" s="4" t="n">
        <v>51</v>
      </c>
      <c r="L20" s="4" t="n">
        <v>578</v>
      </c>
      <c r="M20" s="3" t="inlineStr">
        <is>
          <t>✓</t>
        </is>
      </c>
      <c r="N20" s="3" t="inlineStr"/>
    </row>
    <row r="21">
      <c r="A21" s="2" t="inlineStr">
        <is>
          <t>STS中转</t>
        </is>
      </c>
      <c r="B21" s="3" t="inlineStr">
        <is>
          <t>glm-5.2</t>
        </is>
      </c>
      <c r="C21" s="3" t="inlineStr">
        <is>
          <t>64K</t>
        </is>
      </c>
      <c r="D21" s="3" t="n">
        <v>2</v>
      </c>
      <c r="E21" s="4" t="n">
        <v>62000</v>
      </c>
      <c r="F21" s="4" t="n">
        <v>206</v>
      </c>
      <c r="G21" s="4" t="n">
        <v>13.609</v>
      </c>
      <c r="H21" s="4" t="n">
        <v>11.33</v>
      </c>
      <c r="I21" s="4" t="n">
        <v>88.29000000000001</v>
      </c>
      <c r="J21" s="4" t="n">
        <v>15.952</v>
      </c>
      <c r="K21" s="4" t="n">
        <v>58</v>
      </c>
      <c r="L21" s="4" t="n">
        <v>491</v>
      </c>
      <c r="M21" s="3" t="inlineStr">
        <is>
          <t>✓</t>
        </is>
      </c>
      <c r="N21" s="3" t="inlineStr"/>
    </row>
    <row r="22">
      <c r="A22" s="5" t="inlineStr">
        <is>
          <t>麦谷上游</t>
        </is>
      </c>
      <c r="B22" s="3" t="inlineStr">
        <is>
          <t>glm-5.1</t>
        </is>
      </c>
      <c r="C22" s="3" t="inlineStr">
        <is>
          <t>128K</t>
        </is>
      </c>
      <c r="D22" s="3" t="n">
        <v>1</v>
      </c>
      <c r="E22" s="4" t="n">
        <v>126000</v>
      </c>
      <c r="F22" s="4" t="n">
        <v>201</v>
      </c>
      <c r="G22" s="4" t="n">
        <v>29.832</v>
      </c>
      <c r="H22" s="4" t="n">
        <v>14.3</v>
      </c>
      <c r="I22" s="4" t="n">
        <v>69.91</v>
      </c>
      <c r="J22" s="4" t="n">
        <v>32.709</v>
      </c>
      <c r="K22" s="4" t="n">
        <v>51</v>
      </c>
      <c r="L22" s="4" t="n">
        <v>864</v>
      </c>
      <c r="M22" s="3" t="inlineStr">
        <is>
          <t>✓</t>
        </is>
      </c>
      <c r="N22" s="3" t="inlineStr"/>
    </row>
    <row r="23">
      <c r="A23" s="5" t="inlineStr">
        <is>
          <t>麦谷上游</t>
        </is>
      </c>
      <c r="B23" s="3" t="inlineStr">
        <is>
          <t>glm-5.1</t>
        </is>
      </c>
      <c r="C23" s="3" t="inlineStr">
        <is>
          <t>128K</t>
        </is>
      </c>
      <c r="D23" s="3" t="n">
        <v>2</v>
      </c>
      <c r="E23" s="4" t="n">
        <v>126000</v>
      </c>
      <c r="F23" s="4" t="n">
        <v>297</v>
      </c>
      <c r="G23" s="4" t="n">
        <v>26.741</v>
      </c>
      <c r="H23" s="4" t="n">
        <v>11.98</v>
      </c>
      <c r="I23" s="4" t="n">
        <v>83.48</v>
      </c>
      <c r="J23" s="4" t="n">
        <v>30.299</v>
      </c>
      <c r="K23" s="4" t="n">
        <v>58</v>
      </c>
      <c r="L23" s="4" t="n">
        <v>474</v>
      </c>
      <c r="M23" s="3" t="inlineStr">
        <is>
          <t>✓</t>
        </is>
      </c>
      <c r="N23" s="3" t="inlineStr"/>
    </row>
    <row r="24">
      <c r="A24" s="5" t="inlineStr">
        <is>
          <t>麦谷上游</t>
        </is>
      </c>
      <c r="B24" s="3" t="inlineStr">
        <is>
          <t>glm-5.1</t>
        </is>
      </c>
      <c r="C24" s="3" t="inlineStr">
        <is>
          <t>16K</t>
        </is>
      </c>
      <c r="D24" s="3" t="n">
        <v>1</v>
      </c>
      <c r="E24" s="4" t="n">
        <v>14000</v>
      </c>
      <c r="F24" s="4" t="n">
        <v>181</v>
      </c>
      <c r="G24" s="4" t="n">
        <v>20.424</v>
      </c>
      <c r="H24" s="4" t="n">
        <v>13.39</v>
      </c>
      <c r="I24" s="4" t="n">
        <v>74.7</v>
      </c>
      <c r="J24" s="4" t="n">
        <v>22.848</v>
      </c>
      <c r="K24" s="4" t="n">
        <v>51</v>
      </c>
      <c r="L24" s="4" t="n">
        <v>830</v>
      </c>
      <c r="M24" s="3" t="inlineStr">
        <is>
          <t>✓</t>
        </is>
      </c>
      <c r="N24" s="3" t="inlineStr"/>
    </row>
    <row r="25">
      <c r="A25" s="5" t="inlineStr">
        <is>
          <t>麦谷上游</t>
        </is>
      </c>
      <c r="B25" s="3" t="inlineStr">
        <is>
          <t>glm-5.1</t>
        </is>
      </c>
      <c r="C25" s="3" t="inlineStr">
        <is>
          <t>16K</t>
        </is>
      </c>
      <c r="D25" s="3" t="n">
        <v>2</v>
      </c>
      <c r="E25" s="4" t="n">
        <v>14000</v>
      </c>
      <c r="F25" s="4" t="n">
        <v>205</v>
      </c>
      <c r="G25" s="4" t="n">
        <v>13.073</v>
      </c>
      <c r="H25" s="4" t="n">
        <v>13.88</v>
      </c>
      <c r="I25" s="4" t="n">
        <v>72.06</v>
      </c>
      <c r="J25" s="4" t="n">
        <v>15.918</v>
      </c>
      <c r="K25" s="4" t="n">
        <v>51</v>
      </c>
      <c r="L25" s="4" t="n">
        <v>711</v>
      </c>
      <c r="M25" s="3" t="inlineStr">
        <is>
          <t>✓</t>
        </is>
      </c>
      <c r="N25" s="3" t="inlineStr"/>
    </row>
    <row r="26">
      <c r="A26" s="5" t="inlineStr">
        <is>
          <t>麦谷上游</t>
        </is>
      </c>
      <c r="B26" s="3" t="inlineStr">
        <is>
          <t>glm-5.1</t>
        </is>
      </c>
      <c r="C26" s="3" t="inlineStr">
        <is>
          <t>16K</t>
        </is>
      </c>
      <c r="D26" s="3" t="n">
        <v>3</v>
      </c>
      <c r="E26" s="4" t="n">
        <v>14000</v>
      </c>
      <c r="F26" s="4" t="n">
        <v>198</v>
      </c>
      <c r="G26" s="4" t="n">
        <v>14.879</v>
      </c>
      <c r="H26" s="4" t="n">
        <v>16.57</v>
      </c>
      <c r="I26" s="4" t="n">
        <v>60.34</v>
      </c>
      <c r="J26" s="4" t="n">
        <v>18.161</v>
      </c>
      <c r="K26" s="4" t="n">
        <v>51</v>
      </c>
      <c r="L26" s="4" t="n">
        <v>576</v>
      </c>
      <c r="M26" s="3" t="inlineStr">
        <is>
          <t>✓</t>
        </is>
      </c>
      <c r="N26" s="3" t="inlineStr"/>
    </row>
    <row r="27">
      <c r="A27" s="5" t="inlineStr">
        <is>
          <t>麦谷上游</t>
        </is>
      </c>
      <c r="B27" s="3" t="inlineStr">
        <is>
          <t>glm-5.1</t>
        </is>
      </c>
      <c r="C27" s="3" t="inlineStr">
        <is>
          <t>4K</t>
        </is>
      </c>
      <c r="D27" s="3" t="n">
        <v>1</v>
      </c>
      <c r="E27" s="4" t="n">
        <v>3072</v>
      </c>
      <c r="F27" s="4" t="n">
        <v>274</v>
      </c>
      <c r="G27" s="4" t="n">
        <v>37.466</v>
      </c>
      <c r="H27" s="4" t="n">
        <v>14.43</v>
      </c>
      <c r="I27" s="4" t="n">
        <v>69.29000000000001</v>
      </c>
      <c r="J27" s="4" t="n">
        <v>41.42</v>
      </c>
      <c r="K27" s="4" t="n">
        <v>58</v>
      </c>
      <c r="L27" s="4" t="n">
        <v>547</v>
      </c>
      <c r="M27" s="3" t="inlineStr">
        <is>
          <t>✓</t>
        </is>
      </c>
      <c r="N27" s="3" t="inlineStr"/>
    </row>
    <row r="28">
      <c r="A28" s="5" t="inlineStr">
        <is>
          <t>麦谷上游</t>
        </is>
      </c>
      <c r="B28" s="3" t="inlineStr">
        <is>
          <t>glm-5.1</t>
        </is>
      </c>
      <c r="C28" s="3" t="inlineStr">
        <is>
          <t>4K</t>
        </is>
      </c>
      <c r="D28" s="3" t="n">
        <v>2</v>
      </c>
      <c r="E28" s="4" t="n">
        <v>3072</v>
      </c>
      <c r="F28" s="4" t="n">
        <v>131</v>
      </c>
      <c r="G28" s="4" t="n">
        <v>20.316</v>
      </c>
      <c r="H28" s="4" t="n">
        <v>26.47</v>
      </c>
      <c r="I28" s="4" t="n">
        <v>37.78</v>
      </c>
      <c r="J28" s="4" t="n">
        <v>23.783</v>
      </c>
      <c r="K28" s="4" t="n">
        <v>51</v>
      </c>
      <c r="L28" s="4" t="n">
        <v>884</v>
      </c>
      <c r="M28" s="3" t="inlineStr">
        <is>
          <t>✓</t>
        </is>
      </c>
      <c r="N28" s="3" t="inlineStr"/>
    </row>
    <row r="29">
      <c r="A29" s="5" t="inlineStr">
        <is>
          <t>麦谷上游</t>
        </is>
      </c>
      <c r="B29" s="3" t="inlineStr">
        <is>
          <t>glm-5.1</t>
        </is>
      </c>
      <c r="C29" s="3" t="inlineStr">
        <is>
          <t>4K</t>
        </is>
      </c>
      <c r="D29" s="3" t="n">
        <v>3</v>
      </c>
      <c r="E29" s="4" t="n">
        <v>3072</v>
      </c>
      <c r="F29" s="4" t="n">
        <v>122</v>
      </c>
      <c r="G29" s="4" t="n">
        <v>19.746</v>
      </c>
      <c r="H29" s="4" t="n">
        <v>25.51</v>
      </c>
      <c r="I29" s="4" t="n">
        <v>39.2</v>
      </c>
      <c r="J29" s="4" t="n">
        <v>22.858</v>
      </c>
      <c r="K29" s="4" t="n">
        <v>51</v>
      </c>
      <c r="L29" s="4" t="n">
        <v>895</v>
      </c>
      <c r="M29" s="3" t="inlineStr">
        <is>
          <t>✓</t>
        </is>
      </c>
      <c r="N29" s="3" t="inlineStr"/>
    </row>
    <row r="30">
      <c r="A30" s="5" t="inlineStr">
        <is>
          <t>麦谷上游</t>
        </is>
      </c>
      <c r="B30" s="3" t="inlineStr">
        <is>
          <t>glm-5.1</t>
        </is>
      </c>
      <c r="C30" s="3" t="inlineStr">
        <is>
          <t>64K</t>
        </is>
      </c>
      <c r="D30" s="3" t="n">
        <v>1</v>
      </c>
      <c r="E30" s="4" t="n">
        <v>62000</v>
      </c>
      <c r="F30" s="4" t="n">
        <v>254</v>
      </c>
      <c r="G30" s="4" t="n">
        <v>33.583</v>
      </c>
      <c r="H30" s="4" t="n">
        <v>21.14</v>
      </c>
      <c r="I30" s="4" t="n">
        <v>47.31</v>
      </c>
      <c r="J30" s="4" t="n">
        <v>38.953</v>
      </c>
      <c r="K30" s="4" t="n">
        <v>58</v>
      </c>
      <c r="L30" s="4" t="n">
        <v>1094</v>
      </c>
      <c r="M30" s="3" t="inlineStr">
        <is>
          <t>✓</t>
        </is>
      </c>
      <c r="N30" s="3" t="inlineStr"/>
    </row>
    <row r="31">
      <c r="A31" s="5" t="inlineStr">
        <is>
          <t>麦谷上游</t>
        </is>
      </c>
      <c r="B31" s="3" t="inlineStr">
        <is>
          <t>glm-5.1</t>
        </is>
      </c>
      <c r="C31" s="3" t="inlineStr">
        <is>
          <t>64K</t>
        </is>
      </c>
      <c r="D31" s="3" t="n">
        <v>2</v>
      </c>
      <c r="E31" s="4" t="n">
        <v>62000</v>
      </c>
      <c r="F31" s="4" t="n">
        <v>182</v>
      </c>
      <c r="G31" s="4" t="n">
        <v>15.538</v>
      </c>
      <c r="H31" s="4" t="n">
        <v>12.79</v>
      </c>
      <c r="I31" s="4" t="n">
        <v>78.16</v>
      </c>
      <c r="J31" s="4" t="n">
        <v>17.866</v>
      </c>
      <c r="K31" s="4" t="n">
        <v>51</v>
      </c>
      <c r="L31" s="4" t="n">
        <v>471</v>
      </c>
      <c r="M31" s="3" t="inlineStr">
        <is>
          <t>✓</t>
        </is>
      </c>
      <c r="N31" s="3" t="inlineStr"/>
    </row>
    <row r="32">
      <c r="A32" s="5" t="inlineStr">
        <is>
          <t>麦谷上游</t>
        </is>
      </c>
      <c r="B32" s="3" t="inlineStr">
        <is>
          <t>glm-5.2</t>
        </is>
      </c>
      <c r="C32" s="3" t="inlineStr">
        <is>
          <t>128K</t>
        </is>
      </c>
      <c r="D32" s="3" t="n">
        <v>1</v>
      </c>
      <c r="E32" s="4" t="n">
        <v>126000</v>
      </c>
      <c r="F32" s="4" t="n">
        <v>241</v>
      </c>
      <c r="G32" s="4" t="n">
        <v>38.66</v>
      </c>
      <c r="H32" s="4" t="n">
        <v>9.56</v>
      </c>
      <c r="I32" s="4" t="n">
        <v>104.62</v>
      </c>
      <c r="J32" s="4" t="n">
        <v>40.963</v>
      </c>
      <c r="K32" s="4" t="n">
        <v>51</v>
      </c>
      <c r="L32" s="4" t="n">
        <v>1584</v>
      </c>
      <c r="M32" s="3" t="inlineStr">
        <is>
          <t>✓</t>
        </is>
      </c>
      <c r="N32" s="3" t="inlineStr"/>
    </row>
    <row r="33">
      <c r="A33" s="5" t="inlineStr">
        <is>
          <t>麦谷上游</t>
        </is>
      </c>
      <c r="B33" s="3" t="inlineStr">
        <is>
          <t>glm-5.2</t>
        </is>
      </c>
      <c r="C33" s="3" t="inlineStr">
        <is>
          <t>128K</t>
        </is>
      </c>
      <c r="D33" s="3" t="n">
        <v>2</v>
      </c>
      <c r="E33" s="4" t="n">
        <v>126000</v>
      </c>
      <c r="F33" s="4" t="n">
        <v>168</v>
      </c>
      <c r="G33" s="4" t="n">
        <v>42.354</v>
      </c>
      <c r="H33" s="4" t="n">
        <v>18.83</v>
      </c>
      <c r="I33" s="4" t="n">
        <v>53.11</v>
      </c>
      <c r="J33" s="4" t="n">
        <v>45.517</v>
      </c>
      <c r="K33" s="4" t="n">
        <v>51</v>
      </c>
      <c r="L33" s="4" t="n">
        <v>853</v>
      </c>
      <c r="M33" s="3" t="inlineStr">
        <is>
          <t>✓</t>
        </is>
      </c>
      <c r="N33" s="3" t="inlineStr"/>
    </row>
    <row r="34">
      <c r="A34" s="5" t="inlineStr">
        <is>
          <t>麦谷上游</t>
        </is>
      </c>
      <c r="B34" s="3" t="inlineStr">
        <is>
          <t>glm-5.2</t>
        </is>
      </c>
      <c r="C34" s="3" t="inlineStr">
        <is>
          <t>16K</t>
        </is>
      </c>
      <c r="D34" s="3" t="n">
        <v>1</v>
      </c>
      <c r="E34" s="4" t="n">
        <v>14000</v>
      </c>
      <c r="F34" s="4" t="n">
        <v>251</v>
      </c>
      <c r="G34" s="4" t="n">
        <v>17.066</v>
      </c>
      <c r="H34" s="4" t="n">
        <v>7.08</v>
      </c>
      <c r="I34" s="4" t="n">
        <v>141.23</v>
      </c>
      <c r="J34" s="4" t="n">
        <v>18.844</v>
      </c>
      <c r="K34" s="4" t="n">
        <v>58</v>
      </c>
      <c r="L34" s="4" t="n">
        <v>606</v>
      </c>
      <c r="M34" s="3" t="inlineStr">
        <is>
          <t>✓</t>
        </is>
      </c>
      <c r="N34" s="3" t="inlineStr"/>
    </row>
    <row r="35">
      <c r="A35" s="5" t="inlineStr">
        <is>
          <t>麦谷上游</t>
        </is>
      </c>
      <c r="B35" s="3" t="inlineStr">
        <is>
          <t>glm-5.2</t>
        </is>
      </c>
      <c r="C35" s="3" t="inlineStr">
        <is>
          <t>16K</t>
        </is>
      </c>
      <c r="D35" s="3" t="n">
        <v>2</v>
      </c>
      <c r="E35" s="4" t="n">
        <v>14000</v>
      </c>
      <c r="F35" s="4" t="n">
        <v>210</v>
      </c>
      <c r="G35" s="4" t="n">
        <v>21.115</v>
      </c>
      <c r="H35" s="4" t="n">
        <v>18.5</v>
      </c>
      <c r="I35" s="4" t="n">
        <v>54.05</v>
      </c>
      <c r="J35" s="4" t="n">
        <v>25</v>
      </c>
      <c r="K35" s="4" t="n">
        <v>58</v>
      </c>
      <c r="L35" s="4" t="n">
        <v>908</v>
      </c>
      <c r="M35" s="3" t="inlineStr">
        <is>
          <t>✓</t>
        </is>
      </c>
      <c r="N35" s="3" t="inlineStr"/>
    </row>
    <row r="36">
      <c r="A36" s="5" t="inlineStr">
        <is>
          <t>麦谷上游</t>
        </is>
      </c>
      <c r="B36" s="3" t="inlineStr">
        <is>
          <t>glm-5.2</t>
        </is>
      </c>
      <c r="C36" s="3" t="inlineStr">
        <is>
          <t>16K</t>
        </is>
      </c>
      <c r="D36" s="3" t="n">
        <v>3</v>
      </c>
      <c r="E36" s="4" t="n">
        <v>14000</v>
      </c>
      <c r="F36" s="4" t="n">
        <v>191</v>
      </c>
      <c r="G36" s="4" t="n">
        <v>12.52</v>
      </c>
      <c r="H36" s="4" t="n">
        <v>10.84</v>
      </c>
      <c r="I36" s="4" t="n">
        <v>92.25</v>
      </c>
      <c r="J36" s="4" t="n">
        <v>14.591</v>
      </c>
      <c r="K36" s="4" t="n">
        <v>51</v>
      </c>
      <c r="L36" s="4" t="n">
        <v>452</v>
      </c>
      <c r="M36" s="3" t="inlineStr">
        <is>
          <t>✓</t>
        </is>
      </c>
      <c r="N36" s="3" t="inlineStr"/>
    </row>
    <row r="37">
      <c r="A37" s="5" t="inlineStr">
        <is>
          <t>麦谷上游</t>
        </is>
      </c>
      <c r="B37" s="3" t="inlineStr">
        <is>
          <t>glm-5.2</t>
        </is>
      </c>
      <c r="C37" s="3" t="inlineStr">
        <is>
          <t>4K</t>
        </is>
      </c>
      <c r="D37" s="3" t="n">
        <v>1</v>
      </c>
      <c r="E37" s="4" t="n">
        <v>3072</v>
      </c>
      <c r="F37" s="4" t="n">
        <v>227</v>
      </c>
      <c r="G37" s="4" t="n">
        <v>12.165</v>
      </c>
      <c r="H37" s="4" t="n">
        <v>16.93</v>
      </c>
      <c r="I37" s="4" t="n">
        <v>59.08</v>
      </c>
      <c r="J37" s="4" t="n">
        <v>16.008</v>
      </c>
      <c r="K37" s="4" t="n">
        <v>51</v>
      </c>
      <c r="L37" s="4" t="n">
        <v>616</v>
      </c>
      <c r="M37" s="3" t="inlineStr">
        <is>
          <t>✓</t>
        </is>
      </c>
      <c r="N37" s="3" t="inlineStr"/>
    </row>
    <row r="38">
      <c r="A38" s="5" t="inlineStr">
        <is>
          <t>麦谷上游</t>
        </is>
      </c>
      <c r="B38" s="3" t="inlineStr">
        <is>
          <t>glm-5.2</t>
        </is>
      </c>
      <c r="C38" s="3" t="inlineStr">
        <is>
          <t>4K</t>
        </is>
      </c>
      <c r="D38" s="3" t="n">
        <v>2</v>
      </c>
      <c r="E38" s="4" t="n">
        <v>3072</v>
      </c>
      <c r="F38" s="4" t="n">
        <v>174</v>
      </c>
      <c r="G38" s="4" t="n">
        <v>29.196</v>
      </c>
      <c r="H38" s="4" t="n">
        <v>15.17</v>
      </c>
      <c r="I38" s="4" t="n">
        <v>65.90000000000001</v>
      </c>
      <c r="J38" s="4" t="n">
        <v>31.838</v>
      </c>
      <c r="K38" s="4" t="n">
        <v>51</v>
      </c>
      <c r="L38" s="4" t="n">
        <v>648</v>
      </c>
      <c r="M38" s="3" t="inlineStr">
        <is>
          <t>✓</t>
        </is>
      </c>
      <c r="N38" s="3" t="inlineStr"/>
    </row>
    <row r="39">
      <c r="A39" s="5" t="inlineStr">
        <is>
          <t>麦谷上游</t>
        </is>
      </c>
      <c r="B39" s="3" t="inlineStr">
        <is>
          <t>glm-5.2</t>
        </is>
      </c>
      <c r="C39" s="3" t="inlineStr">
        <is>
          <t>4K</t>
        </is>
      </c>
      <c r="D39" s="3" t="n">
        <v>3</v>
      </c>
      <c r="E39" s="4" t="n">
        <v>3072</v>
      </c>
      <c r="F39" s="4" t="n">
        <v>173</v>
      </c>
      <c r="G39" s="4" t="n">
        <v>10.342</v>
      </c>
      <c r="H39" s="4" t="n">
        <v>14.44</v>
      </c>
      <c r="I39" s="4" t="n">
        <v>69.27</v>
      </c>
      <c r="J39" s="4" t="n">
        <v>13.045</v>
      </c>
      <c r="K39" s="4" t="n">
        <v>51</v>
      </c>
      <c r="L39" s="4" t="n">
        <v>479</v>
      </c>
      <c r="M39" s="3" t="inlineStr">
        <is>
          <t>✓</t>
        </is>
      </c>
      <c r="N39" s="3" t="inlineStr"/>
    </row>
    <row r="40">
      <c r="A40" s="5" t="inlineStr">
        <is>
          <t>麦谷上游</t>
        </is>
      </c>
      <c r="B40" s="3" t="inlineStr">
        <is>
          <t>glm-5.2</t>
        </is>
      </c>
      <c r="C40" s="3" t="inlineStr">
        <is>
          <t>64K</t>
        </is>
      </c>
      <c r="D40" s="3" t="n">
        <v>1</v>
      </c>
      <c r="E40" s="4" t="n">
        <v>62000</v>
      </c>
      <c r="F40" s="4" t="n">
        <v>218</v>
      </c>
      <c r="G40" s="4" t="n">
        <v>23.551</v>
      </c>
      <c r="H40" s="4" t="n">
        <v>13.42</v>
      </c>
      <c r="I40" s="4" t="n">
        <v>74.52</v>
      </c>
      <c r="J40" s="4" t="n">
        <v>26.476</v>
      </c>
      <c r="K40" s="4" t="n">
        <v>51</v>
      </c>
      <c r="L40" s="4" t="n">
        <v>591</v>
      </c>
      <c r="M40" s="3" t="inlineStr">
        <is>
          <t>✓</t>
        </is>
      </c>
      <c r="N40" s="3" t="inlineStr"/>
    </row>
    <row r="41">
      <c r="A41" s="5" t="inlineStr">
        <is>
          <t>麦谷上游</t>
        </is>
      </c>
      <c r="B41" s="3" t="inlineStr">
        <is>
          <t>glm-5.2</t>
        </is>
      </c>
      <c r="C41" s="3" t="inlineStr">
        <is>
          <t>64K</t>
        </is>
      </c>
      <c r="D41" s="3" t="n">
        <v>2</v>
      </c>
      <c r="E41" s="4" t="n">
        <v>62000</v>
      </c>
      <c r="F41" s="4" t="n">
        <v>223</v>
      </c>
      <c r="G41" s="4" t="n">
        <v>50.18</v>
      </c>
      <c r="H41" s="4" t="n">
        <v>34.26</v>
      </c>
      <c r="I41" s="4" t="n">
        <v>29.19</v>
      </c>
      <c r="J41" s="4" t="n">
        <v>57.819</v>
      </c>
      <c r="K41" s="4" t="n">
        <v>51</v>
      </c>
      <c r="L41" s="4" t="n">
        <v>528</v>
      </c>
      <c r="M41" s="3" t="inlineStr">
        <is>
          <t>✓</t>
        </is>
      </c>
      <c r="N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2026-08-25T08:22:15Z</dcterms:created>
  <dcterms:modified xmlns:dcterms="http://purl.org/dc/terms/" xmlns:xsi="http://www.w3.org/2001/XMLSchema-instance" xsi:type="dcterms:W3CDTF">2026-08-25T08:22:15Z</dcterms:modified>
</cp:coreProperties>
</file>